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tables/table21.xml" ContentType="application/vnd.openxmlformats-officedocument.spreadsheetml.table+xml"/>
  <Override PartName="/xl/queryTables/queryTable20.xml" ContentType="application/vnd.openxmlformats-officedocument.spreadsheetml.queryTable+xml"/>
  <Override PartName="/xl/tables/table22.xml" ContentType="application/vnd.openxmlformats-officedocument.spreadsheetml.table+xml"/>
  <Override PartName="/xl/queryTables/queryTable2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seanenergy-my.sharepoint.com/personal/flavia_frederick_aseanenergy_org/Documents/Work/AEO9/Modelling/Data Check/"/>
    </mc:Choice>
  </mc:AlternateContent>
  <xr:revisionPtr revIDLastSave="11303" documentId="8_{005ACD15-474C-4265-9A1A-327E84CCE86F}" xr6:coauthVersionLast="47" xr6:coauthVersionMax="47" xr10:uidLastSave="{BC7C72F7-582B-47FF-AA2D-9944F2B5A690}"/>
  <bookViews>
    <workbookView xWindow="-28920" yWindow="-120" windowWidth="29040" windowHeight="15720" activeTab="13" xr2:uid="{8A398FF4-35B5-4A2E-86FC-2D1FA0F16116}"/>
  </bookViews>
  <sheets>
    <sheet name="Comparison" sheetId="20" r:id="rId1"/>
    <sheet name="Mapping" sheetId="19" state="hidden" r:id="rId2"/>
    <sheet name="Vietnam_HP" sheetId="30" state="hidden" r:id="rId3"/>
    <sheet name="Thailand_HP" sheetId="29" state="hidden" r:id="rId4"/>
    <sheet name="Singapore_HP" sheetId="28" state="hidden" r:id="rId5"/>
    <sheet name="Philippines_HP" sheetId="27" state="hidden" r:id="rId6"/>
    <sheet name="Myanmar_HP" sheetId="26" state="hidden" r:id="rId7"/>
    <sheet name="Malaysia_HP" sheetId="25" state="hidden" r:id="rId8"/>
    <sheet name="Laos_HP" sheetId="24" state="hidden" r:id="rId9"/>
    <sheet name="Indonesia_HP" sheetId="23" state="hidden" r:id="rId10"/>
    <sheet name="Cambodia_HP" sheetId="22" state="hidden" r:id="rId11"/>
    <sheet name="Brunei_HP" sheetId="21" state="hidden" r:id="rId12"/>
    <sheet name="LEAP" sheetId="18" state="hidden" r:id="rId13"/>
    <sheet name="Input_to_LEAP" sheetId="31" r:id="rId14"/>
    <sheet name="Input_MYS_Adj" sheetId="33" r:id="rId15"/>
    <sheet name="Brunei" sheetId="6" state="hidden" r:id="rId16"/>
    <sheet name="Cambodia" sheetId="7" state="hidden" r:id="rId17"/>
    <sheet name="Indonesia" sheetId="8" state="hidden" r:id="rId18"/>
    <sheet name="Laos" sheetId="9" state="hidden" r:id="rId19"/>
    <sheet name="Malaysia" sheetId="10" state="hidden" r:id="rId20"/>
    <sheet name="Myanmar" sheetId="11" state="hidden" r:id="rId21"/>
    <sheet name="Philippines" sheetId="12" state="hidden" r:id="rId22"/>
    <sheet name="Singapore" sheetId="13" state="hidden" r:id="rId23"/>
    <sheet name="Thailand" sheetId="14" state="hidden" r:id="rId24"/>
    <sheet name="Vietnam" sheetId="15" state="hidden" r:id="rId25"/>
    <sheet name="Source" sheetId="5" state="hidden" r:id="rId26"/>
  </sheets>
  <externalReferences>
    <externalReference r:id="rId27"/>
  </externalReferences>
  <definedNames>
    <definedName name="_xlnm._FilterDatabase" localSheetId="13" hidden="1">Input_to_LEAP!$A$1:$X$191</definedName>
    <definedName name="AMS">Mapping!$N$4:$N$13</definedName>
    <definedName name="ExternalData_1" localSheetId="11" hidden="1">Brunei_HP!$A$1:$V$34</definedName>
    <definedName name="ExternalData_1" localSheetId="25" hidden="1">Source!$A$1:$F$13</definedName>
    <definedName name="ExternalData_10" localSheetId="23" hidden="1">Thailand!$A$1:$V$34</definedName>
    <definedName name="ExternalData_10" localSheetId="2" hidden="1">Vietnam_HP!$A$1:$V$34</definedName>
    <definedName name="ExternalData_11" localSheetId="24" hidden="1">Vietnam!$A$1:$V$34</definedName>
    <definedName name="ExternalData_2" localSheetId="15" hidden="1">Brunei!$A$1:$V$34</definedName>
    <definedName name="ExternalData_2" localSheetId="10" hidden="1">'Cambodia_HP'!$A$1:$V$34</definedName>
    <definedName name="ExternalData_3" localSheetId="16" hidden="1">'Cambodia'!$A$1:$V$34</definedName>
    <definedName name="ExternalData_3" localSheetId="9" hidden="1">Indonesia_HP!$A$1:$V$34</definedName>
    <definedName name="ExternalData_4" localSheetId="17" hidden="1">Indonesia!$A$1:$V$34</definedName>
    <definedName name="ExternalData_4" localSheetId="8" hidden="1">Laos_HP!$A$1:$V$32</definedName>
    <definedName name="ExternalData_5" localSheetId="18" hidden="1">Laos!$A$1:$V$32</definedName>
    <definedName name="ExternalData_5" localSheetId="7" hidden="1">Malaysia_HP!$A$1:$V$34</definedName>
    <definedName name="ExternalData_6" localSheetId="19" hidden="1">Malaysia!$A$1:$V$34</definedName>
    <definedName name="ExternalData_6" localSheetId="6" hidden="1">Myanmar_HP!$A$1:$V$33</definedName>
    <definedName name="ExternalData_7" localSheetId="20" hidden="1">Myanmar!$A$1:$V$33</definedName>
    <definedName name="ExternalData_7" localSheetId="5" hidden="1">Philippines_HP!$A$1:$V$32</definedName>
    <definedName name="ExternalData_8" localSheetId="21" hidden="1">Philippines!$A$1:$V$32</definedName>
    <definedName name="ExternalData_8" localSheetId="4" hidden="1">Singapore_HP!$A$1:$V$34</definedName>
    <definedName name="ExternalData_9" localSheetId="22" hidden="1">Singapore!$A$1:$V$34</definedName>
    <definedName name="ExternalData_9" localSheetId="3" hidden="1">Thailand_HP!$A$1:$V$34</definedName>
    <definedName name="MYS_Fractioned">Input_MYS_Adj!$A$1:$AB$33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18" i="33" l="1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G2" i="33"/>
  <c r="A2" i="33" s="1"/>
  <c r="AF2" i="33" a="1"/>
  <c r="AF2" i="33" s="1"/>
  <c r="BA2" i="33" a="1"/>
  <c r="BA2" i="33" s="1"/>
  <c r="G3" i="33"/>
  <c r="A3" i="33" s="1"/>
  <c r="AF3" i="33" a="1"/>
  <c r="AF3" i="33" s="1"/>
  <c r="BA3" i="33" a="1"/>
  <c r="G4" i="33"/>
  <c r="A4" i="33" s="1"/>
  <c r="G5" i="33"/>
  <c r="A5" i="33" s="1"/>
  <c r="G6" i="33"/>
  <c r="A6" i="33" s="1"/>
  <c r="G7" i="33"/>
  <c r="A7" i="33" s="1"/>
  <c r="G8" i="33"/>
  <c r="A8" i="33" s="1"/>
  <c r="G9" i="33"/>
  <c r="A9" i="33" s="1"/>
  <c r="G10" i="33"/>
  <c r="A10" i="33" s="1"/>
  <c r="G11" i="33"/>
  <c r="A11" i="33" s="1"/>
  <c r="G12" i="33"/>
  <c r="A12" i="33" s="1"/>
  <c r="AF12" i="33" a="1"/>
  <c r="AF12" i="33" s="1"/>
  <c r="G13" i="33"/>
  <c r="A13" i="33" s="1"/>
  <c r="G14" i="33"/>
  <c r="A14" i="33" s="1"/>
  <c r="G15" i="33"/>
  <c r="A15" i="33" s="1"/>
  <c r="G16" i="33"/>
  <c r="A16" i="33" s="1"/>
  <c r="G17" i="33"/>
  <c r="A17" i="33" s="1"/>
  <c r="AK30" i="33" a="1"/>
  <c r="AK30" i="33" s="1"/>
  <c r="AI31" i="33" a="1"/>
  <c r="AF32" i="33" a="1"/>
  <c r="AF32" i="33" s="1"/>
  <c r="AI37" i="33" a="1"/>
  <c r="AI42" i="33" a="1"/>
  <c r="AJ55" i="33" a="1"/>
  <c r="AJ55" i="33" s="1"/>
  <c r="AO55" i="33" s="1" a="1"/>
  <c r="AO55" i="33" s="1"/>
  <c r="AJ56" i="33" a="1"/>
  <c r="C153" i="31"/>
  <c r="C142" i="31"/>
  <c r="C137" i="31"/>
  <c r="C129" i="31"/>
  <c r="C120" i="31"/>
  <c r="C112" i="31"/>
  <c r="C108" i="31"/>
  <c r="C94" i="31"/>
  <c r="C88" i="31"/>
  <c r="C83" i="31"/>
  <c r="D108" i="31" a="1"/>
  <c r="D94" i="31" a="1"/>
  <c r="D88" i="31" a="1"/>
  <c r="D129" i="31" a="1"/>
  <c r="D153" i="31" a="1"/>
  <c r="D120" i="31" a="1"/>
  <c r="D142" i="31" a="1"/>
  <c r="D83" i="31" a="1"/>
  <c r="D137" i="31" a="1"/>
  <c r="D112" i="31" a="1"/>
  <c r="AD13" i="33" l="1" a="1"/>
  <c r="AD13" i="33" s="1"/>
  <c r="AJ56" i="33"/>
  <c r="X2" i="33" s="1" a="1"/>
  <c r="AI42" i="33"/>
  <c r="AI37" i="33"/>
  <c r="AI31" i="33"/>
  <c r="BA12" i="33" a="1"/>
  <c r="BA12" i="33" s="1"/>
  <c r="BA3" i="33"/>
  <c r="B89" i="31" a="1"/>
  <c r="B89" i="31" s="1"/>
  <c r="C89" i="31" a="1"/>
  <c r="C89" i="31" s="1"/>
  <c r="A89" i="31" a="1"/>
  <c r="A89" i="31" s="1"/>
  <c r="D88" i="31"/>
  <c r="B154" i="31" a="1"/>
  <c r="B154" i="31" s="1"/>
  <c r="A154" i="31" a="1"/>
  <c r="A154" i="31" s="1"/>
  <c r="C154" i="31" a="1"/>
  <c r="C154" i="31" s="1"/>
  <c r="D153" i="31"/>
  <c r="B95" i="31" a="1"/>
  <c r="B95" i="31" s="1"/>
  <c r="A95" i="31" a="1"/>
  <c r="A95" i="31" s="1"/>
  <c r="D94" i="31"/>
  <c r="C95" i="31" a="1"/>
  <c r="C95" i="31" s="1"/>
  <c r="A109" i="31" a="1"/>
  <c r="A109" i="31" s="1"/>
  <c r="D108" i="31"/>
  <c r="C109" i="31" a="1"/>
  <c r="C109" i="31" s="1"/>
  <c r="B109" i="31" a="1"/>
  <c r="B109" i="31" s="1"/>
  <c r="A113" i="31" a="1"/>
  <c r="A113" i="31" s="1"/>
  <c r="D112" i="31"/>
  <c r="C113" i="31" a="1"/>
  <c r="C113" i="31" s="1"/>
  <c r="B113" i="31" a="1"/>
  <c r="B113" i="31" s="1"/>
  <c r="C138" i="31" a="1"/>
  <c r="C138" i="31" s="1"/>
  <c r="B138" i="31" a="1"/>
  <c r="B138" i="31" s="1"/>
  <c r="A138" i="31" a="1"/>
  <c r="A138" i="31" s="1"/>
  <c r="D137" i="31"/>
  <c r="C84" i="31" a="1"/>
  <c r="C84" i="31" s="1"/>
  <c r="B84" i="31" a="1"/>
  <c r="B84" i="31" s="1"/>
  <c r="A84" i="31" a="1"/>
  <c r="A84" i="31" s="1"/>
  <c r="D83" i="31"/>
  <c r="C143" i="31" a="1"/>
  <c r="C143" i="31" s="1"/>
  <c r="B143" i="31" a="1"/>
  <c r="B143" i="31" s="1"/>
  <c r="A143" i="31" a="1"/>
  <c r="A143" i="31" s="1"/>
  <c r="D142" i="31"/>
  <c r="D120" i="31"/>
  <c r="C121" i="31" a="1"/>
  <c r="C121" i="31" s="1"/>
  <c r="A121" i="31" a="1"/>
  <c r="A121" i="31" s="1"/>
  <c r="B121" i="31" a="1"/>
  <c r="B121" i="31" s="1"/>
  <c r="C130" i="31" a="1"/>
  <c r="C130" i="31" s="1"/>
  <c r="D129" i="31"/>
  <c r="B130" i="31" a="1"/>
  <c r="B130" i="31" s="1"/>
  <c r="A130" i="31" a="1"/>
  <c r="A130" i="31" s="1"/>
  <c r="AK40" i="33" l="1" a="1"/>
  <c r="AK40" i="33" s="1"/>
  <c r="AK33" i="33" a="1"/>
  <c r="AK33" i="33" s="1"/>
  <c r="AK34" i="33" a="1"/>
  <c r="AK34" i="33" s="1"/>
  <c r="X2" i="33"/>
  <c r="AK35" i="33" a="1"/>
  <c r="AK35" i="33" s="1"/>
  <c r="AK38" i="33" a="1"/>
  <c r="AK38" i="33" s="1"/>
  <c r="AK45" i="33" a="1"/>
  <c r="AK45" i="33" s="1"/>
  <c r="AK41" i="33" a="1"/>
  <c r="AK41" i="33" s="1"/>
  <c r="AK32" i="33" a="1"/>
  <c r="AK32" i="33" s="1"/>
  <c r="AK39" i="33" a="1"/>
  <c r="AK39" i="33" s="1"/>
  <c r="AK36" i="33" a="1"/>
  <c r="AK36" i="33" s="1"/>
  <c r="AK46" i="33" a="1"/>
  <c r="AK46" i="33" s="1"/>
  <c r="AK43" i="33" a="1"/>
  <c r="AK43" i="33" s="1"/>
  <c r="AK44" i="33" a="1"/>
  <c r="AK44" i="33" s="1"/>
  <c r="AK42" i="33" a="1"/>
  <c r="AK42" i="33" s="1"/>
  <c r="AK31" i="33" a="1"/>
  <c r="AK31" i="33" s="1"/>
  <c r="AK37" i="33" a="1"/>
  <c r="AK37" i="33" s="1"/>
  <c r="BA19" i="33" s="1" a="1"/>
  <c r="BA19" i="33" s="1"/>
  <c r="C76" i="31"/>
  <c r="C63" i="31"/>
  <c r="C58" i="31"/>
  <c r="C50" i="31"/>
  <c r="C40" i="31"/>
  <c r="C32" i="31"/>
  <c r="C27" i="31"/>
  <c r="C13" i="31"/>
  <c r="C7" i="31"/>
  <c r="C2" i="31"/>
  <c r="E1" i="31" a="1"/>
  <c r="E1" i="31" s="1"/>
  <c r="B3" i="20" a="1"/>
  <c r="B3" i="20" s="1"/>
  <c r="B8" i="20" s="1" a="1"/>
  <c r="B8" i="20" s="1"/>
  <c r="C2" i="19" a="1"/>
  <c r="C2" i="19" s="1"/>
  <c r="B3" i="19" a="1"/>
  <c r="B3" i="19" s="1"/>
  <c r="D50" i="31" a="1"/>
  <c r="D40" i="31" a="1"/>
  <c r="D32" i="31" a="1"/>
  <c r="D76" i="31" a="1"/>
  <c r="D2" i="31" a="1"/>
  <c r="D27" i="31" a="1"/>
  <c r="D63" i="31" a="1"/>
  <c r="D58" i="31" a="1"/>
  <c r="D13" i="31" a="1"/>
  <c r="D7" i="31" a="1"/>
  <c r="D8" i="20" a="1"/>
  <c r="BA13" i="33" l="1" a="1"/>
  <c r="BA13" i="33" s="1"/>
  <c r="AF13" i="33" a="1"/>
  <c r="AF13" i="33" s="1"/>
  <c r="AF24" i="33" a="1"/>
  <c r="AF24" i="33" s="1"/>
  <c r="BA24" i="33" a="1"/>
  <c r="BA24" i="33" s="1"/>
  <c r="AF19" i="33" a="1"/>
  <c r="AF19" i="33" s="1"/>
  <c r="A77" i="31" a="1"/>
  <c r="A77" i="31" s="1"/>
  <c r="C77" i="31" a="1"/>
  <c r="C77" i="31" s="1"/>
  <c r="B77" i="31" a="1"/>
  <c r="B77" i="31" s="1"/>
  <c r="D76" i="31"/>
  <c r="C64" i="31" a="1"/>
  <c r="C64" i="31" s="1"/>
  <c r="B64" i="31" a="1"/>
  <c r="B64" i="31" s="1"/>
  <c r="A64" i="31" a="1"/>
  <c r="A64" i="31" s="1"/>
  <c r="D63" i="31"/>
  <c r="C59" i="31" a="1"/>
  <c r="C59" i="31" s="1"/>
  <c r="A59" i="31" a="1"/>
  <c r="A59" i="31" s="1"/>
  <c r="B59" i="31" a="1"/>
  <c r="B59" i="31" s="1"/>
  <c r="D58" i="31"/>
  <c r="B51" i="31" a="1"/>
  <c r="B51" i="31" s="1"/>
  <c r="A51" i="31" a="1"/>
  <c r="A51" i="31" s="1"/>
  <c r="D50" i="31"/>
  <c r="C51" i="31" a="1"/>
  <c r="C51" i="31" s="1"/>
  <c r="C41" i="31" a="1"/>
  <c r="C41" i="31" s="1"/>
  <c r="B41" i="31" a="1"/>
  <c r="B41" i="31" s="1"/>
  <c r="A41" i="31" a="1"/>
  <c r="A41" i="31" s="1"/>
  <c r="D40" i="31"/>
  <c r="C33" i="31" a="1"/>
  <c r="C33" i="31" s="1"/>
  <c r="B33" i="31" a="1"/>
  <c r="B33" i="31" s="1"/>
  <c r="A33" i="31" a="1"/>
  <c r="A33" i="31" s="1"/>
  <c r="D32" i="31"/>
  <c r="C28" i="31" a="1"/>
  <c r="C28" i="31" s="1"/>
  <c r="B28" i="31" a="1"/>
  <c r="B28" i="31" s="1"/>
  <c r="A28" i="31" a="1"/>
  <c r="A28" i="31" s="1"/>
  <c r="D27" i="31"/>
  <c r="B14" i="31" a="1"/>
  <c r="B14" i="31" s="1"/>
  <c r="C14" i="31" a="1"/>
  <c r="C14" i="31" s="1"/>
  <c r="A14" i="31" a="1"/>
  <c r="A14" i="31" s="1"/>
  <c r="D13" i="31"/>
  <c r="C8" i="31" a="1"/>
  <c r="C8" i="31" s="1"/>
  <c r="B8" i="31" a="1"/>
  <c r="B8" i="31" s="1"/>
  <c r="A8" i="31" a="1"/>
  <c r="A8" i="31" s="1"/>
  <c r="D7" i="31"/>
  <c r="C3" i="31" a="1"/>
  <c r="C3" i="31" s="1"/>
  <c r="B3" i="31" a="1"/>
  <c r="B3" i="31" s="1"/>
  <c r="A3" i="31" a="1"/>
  <c r="A3" i="31" s="1"/>
  <c r="D2" i="31"/>
  <c r="D8" i="20"/>
  <c r="F8" i="20" a="1"/>
  <c r="A8" i="20" a="1"/>
  <c r="A8" i="20" s="1"/>
  <c r="I18" i="33" l="1" a="1"/>
  <c r="I18" i="33" s="1"/>
  <c r="I2" i="33" a="1"/>
  <c r="I2" i="33" s="1"/>
  <c r="F8" i="20"/>
  <c r="H8" i="20" s="1" a="1"/>
  <c r="B160" i="31" l="1" a="1"/>
  <c r="O18" i="20"/>
  <c r="O19" i="20"/>
  <c r="O20" i="20"/>
  <c r="O9" i="20"/>
  <c r="O10" i="20"/>
  <c r="O11" i="20"/>
  <c r="O12" i="20"/>
  <c r="O13" i="20"/>
  <c r="O14" i="20"/>
  <c r="O15" i="20"/>
  <c r="O16" i="20"/>
  <c r="O17" i="20"/>
  <c r="H8" i="20"/>
  <c r="O8" i="20"/>
  <c r="C36" i="8" a="1"/>
  <c r="C36" i="8" s="1"/>
  <c r="C36" i="7" a="1"/>
  <c r="C36" i="7" s="1"/>
  <c r="C36" i="6" a="1"/>
  <c r="C36" i="6" s="1"/>
  <c r="B160" i="31" l="1"/>
  <c r="A161" i="31" a="1"/>
  <c r="A161" i="31" s="1"/>
  <c r="AB2" i="31" s="1" a="1"/>
  <c r="AB2" i="31" l="1"/>
  <c r="AD74" i="33" s="1" a="1"/>
  <c r="AD74" i="33" l="1"/>
  <c r="AE74" i="33" s="1" a="1"/>
  <c r="AE74" i="33" s="1"/>
  <c r="AE81" i="33" a="1"/>
  <c r="AE81" i="33" s="1"/>
  <c r="AE78" i="33" a="1"/>
  <c r="AE78" i="33" s="1"/>
  <c r="AE80" i="33" a="1"/>
  <c r="AE80" i="33" s="1"/>
  <c r="AE76" i="33" a="1"/>
  <c r="AE76" i="33" s="1"/>
  <c r="AE77" i="33" a="1"/>
  <c r="AE77" i="33" s="1"/>
  <c r="AE75" i="33" a="1"/>
  <c r="AE75" i="33" s="1"/>
  <c r="AE79" i="33" a="1"/>
  <c r="AE79" i="3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5C18A1-D881-49C6-8338-53917701A73E}" keepAlive="1" name="Query - Brunei" description="Connection to the 'Brunei' query in the workbook." type="5" refreshedVersion="8" background="1" saveData="1">
    <dbPr connection="Provider=Microsoft.Mashup.OleDb.1;Data Source=$Workbook$;Location=Brunei;Extended Properties=&quot;&quot;" command="SELECT * FROM [Brunei]"/>
  </connection>
  <connection id="2" xr16:uid="{F1A46094-704F-4040-9C1B-F8CF90EA09A3}" keepAlive="1" name="Query - Brunei_HP" description="Connection to the 'Brunei_HP' query in the workbook." type="5" refreshedVersion="8" background="1" saveData="1">
    <dbPr connection="Provider=Microsoft.Mashup.OleDb.1;Data Source=$Workbook$;Location=Brunei_HP;Extended Properties=&quot;&quot;" command="SELECT * FROM [Brunei_HP]"/>
  </connection>
  <connection id="3" xr16:uid="{D0A4ADE6-ACE7-4065-B2D8-3642E1464A1B}" keepAlive="1" name="Query - Cambodia" description="Connection to the 'Cambodia' query in the workbook." type="5" refreshedVersion="8" background="1" saveData="1">
    <dbPr connection="Provider=Microsoft.Mashup.OleDb.1;Data Source=$Workbook$;Location=Cambodia;Extended Properties=&quot;&quot;" command="SELECT * FROM [Cambodia]"/>
  </connection>
  <connection id="4" xr16:uid="{5C30CBDE-4463-4038-9397-787A35F16A19}" keepAlive="1" name="Query - Cambodia_HP" description="Connection to the 'Cambodia_HP' query in the workbook." type="5" refreshedVersion="8" background="1" saveData="1">
    <dbPr connection="Provider=Microsoft.Mashup.OleDb.1;Data Source=$Workbook$;Location=Cambodia_HP;Extended Properties=&quot;&quot;" command="SELECT * FROM [Cambodia_HP]"/>
  </connection>
  <connection id="5" xr16:uid="{FAACA77C-32EC-4E13-8FEB-8AC932D5B67E}" keepAlive="1" name="Query - Indonesia" description="Connection to the 'Indonesia' query in the workbook." type="5" refreshedVersion="8" background="1" saveData="1">
    <dbPr connection="Provider=Microsoft.Mashup.OleDb.1;Data Source=$Workbook$;Location=Indonesia;Extended Properties=&quot;&quot;" command="SELECT * FROM [Indonesia]"/>
  </connection>
  <connection id="6" xr16:uid="{E1E0131E-567D-478B-9CD4-F41367C0D0B9}" keepAlive="1" name="Query - Indonesia_HP" description="Connection to the 'Indonesia_HP' query in the workbook." type="5" refreshedVersion="8" background="1" saveData="1">
    <dbPr connection="Provider=Microsoft.Mashup.OleDb.1;Data Source=$Workbook$;Location=Indonesia_HP;Extended Properties=&quot;&quot;" command="SELECT * FROM [Indonesia_HP]"/>
  </connection>
  <connection id="7" xr16:uid="{7CBFD974-39C7-4607-B60A-7DD164652F90}" keepAlive="1" name="Query - Laos" description="Connection to the 'Laos' query in the workbook." type="5" refreshedVersion="8" background="1" saveData="1">
    <dbPr connection="Provider=Microsoft.Mashup.OleDb.1;Data Source=$Workbook$;Location=Laos;Extended Properties=&quot;&quot;" command="SELECT * FROM [Laos]"/>
  </connection>
  <connection id="8" xr16:uid="{AC123416-7AB8-4BD3-8D08-1A8EB3E77819}" keepAlive="1" name="Query - Laos_HP" description="Connection to the 'Laos_HP' query in the workbook." type="5" refreshedVersion="8" background="1" saveData="1">
    <dbPr connection="Provider=Microsoft.Mashup.OleDb.1;Data Source=$Workbook$;Location=Laos_HP;Extended Properties=&quot;&quot;" command="SELECT * FROM [Laos_HP]"/>
  </connection>
  <connection id="9" xr16:uid="{2BA00722-CDF3-4DF7-A239-07A1CE6F8CCF}" keepAlive="1" name="Query - Malaysia" description="Connection to the 'Malaysia' query in the workbook." type="5" refreshedVersion="8" background="1" saveData="1">
    <dbPr connection="Provider=Microsoft.Mashup.OleDb.1;Data Source=$Workbook$;Location=Malaysia;Extended Properties=&quot;&quot;" command="SELECT * FROM [Malaysia]"/>
  </connection>
  <connection id="10" xr16:uid="{74218FD3-CFF7-4158-B529-A4436DC68D3C}" keepAlive="1" name="Query - Malaysia_HP" description="Connection to the 'Malaysia_HP' query in the workbook." type="5" refreshedVersion="8" background="1" saveData="1">
    <dbPr connection="Provider=Microsoft.Mashup.OleDb.1;Data Source=$Workbook$;Location=Malaysia_HP;Extended Properties=&quot;&quot;" command="SELECT * FROM [Malaysia_HP]"/>
  </connection>
  <connection id="11" xr16:uid="{0B5DD0AF-06E2-4E63-A752-C847147B2345}" keepAlive="1" name="Query - Myanmar" description="Connection to the 'Myanmar' query in the workbook." type="5" refreshedVersion="8" background="1" saveData="1">
    <dbPr connection="Provider=Microsoft.Mashup.OleDb.1;Data Source=$Workbook$;Location=Myanmar;Extended Properties=&quot;&quot;" command="SELECT * FROM [Myanmar]"/>
  </connection>
  <connection id="12" xr16:uid="{4B28B764-8259-4F37-839D-56FA97E4F078}" keepAlive="1" name="Query - Myanmar_HP" description="Connection to the 'Myanmar_HP' query in the workbook." type="5" refreshedVersion="8" background="1" saveData="1">
    <dbPr connection="Provider=Microsoft.Mashup.OleDb.1;Data Source=$Workbook$;Location=Myanmar_HP;Extended Properties=&quot;&quot;" command="SELECT * FROM [Myanmar_HP]"/>
  </connection>
  <connection id="13" xr16:uid="{00A93896-7C93-4603-ACFE-2A215EE8716C}" keepAlive="1" name="Query - Philippines" description="Connection to the 'Philippines' query in the workbook." type="5" refreshedVersion="8" background="1" saveData="1">
    <dbPr connection="Provider=Microsoft.Mashup.OleDb.1;Data Source=$Workbook$;Location=Philippines;Extended Properties=&quot;&quot;" command="SELECT * FROM [Philippines]"/>
  </connection>
  <connection id="14" xr16:uid="{4AE5BF38-F613-42AD-99A0-D27EE134509F}" keepAlive="1" name="Query - Philippines_HP" description="Connection to the 'Philippines_HP' query in the workbook." type="5" refreshedVersion="8" background="1" saveData="1">
    <dbPr connection="Provider=Microsoft.Mashup.OleDb.1;Data Source=$Workbook$;Location=Philippines_HP;Extended Properties=&quot;&quot;" command="SELECT * FROM [Philippines_HP]"/>
  </connection>
  <connection id="15" xr16:uid="{DB44F2CD-3458-4D6F-9393-152CC7036335}" keepAlive="1" name="Query - Singapore" description="Connection to the 'Singapore' query in the workbook." type="5" refreshedVersion="8" background="1" saveData="1">
    <dbPr connection="Provider=Microsoft.Mashup.OleDb.1;Data Source=$Workbook$;Location=Singapore;Extended Properties=&quot;&quot;" command="SELECT * FROM [Singapore]"/>
  </connection>
  <connection id="16" xr16:uid="{73A03CAE-7F81-4F54-A751-B0DEE34D4922}" keepAlive="1" name="Query - Singapore_HP" description="Connection to the 'Singapore_HP' query in the workbook." type="5" refreshedVersion="8" background="1" saveData="1">
    <dbPr connection="Provider=Microsoft.Mashup.OleDb.1;Data Source=$Workbook$;Location=Singapore_HP;Extended Properties=&quot;&quot;" command="SELECT * FROM [Singapore_HP]"/>
  </connection>
  <connection id="17" xr16:uid="{C0564AB2-B095-4050-BB57-A2E9467E1B61}" keepAlive="1" name="Query - Source" description="Connection to the 'Source' query in the workbook." type="5" refreshedVersion="8" background="1" saveData="1">
    <dbPr connection="Provider=Microsoft.Mashup.OleDb.1;Data Source=$Workbook$;Location=Source;Extended Properties=&quot;&quot;" command="SELECT * FROM [Source]"/>
  </connection>
  <connection id="18" xr16:uid="{5B3E96ED-0D3C-4F27-8E3F-05C9851159B0}" keepAlive="1" name="Query - Thailand" description="Connection to the 'Thailand' query in the workbook." type="5" refreshedVersion="8" background="1" saveData="1">
    <dbPr connection="Provider=Microsoft.Mashup.OleDb.1;Data Source=$Workbook$;Location=Thailand;Extended Properties=&quot;&quot;" command="SELECT * FROM [Thailand]"/>
  </connection>
  <connection id="19" xr16:uid="{FB6D173B-4C78-4C65-A22D-C3A5F599228D}" keepAlive="1" name="Query - Thailand_HP" description="Connection to the 'Thailand_HP' query in the workbook." type="5" refreshedVersion="8" background="1" saveData="1">
    <dbPr connection="Provider=Microsoft.Mashup.OleDb.1;Data Source=$Workbook$;Location=Thailand_HP;Extended Properties=&quot;&quot;" command="SELECT * FROM [Thailand_HP]"/>
  </connection>
  <connection id="20" xr16:uid="{4D4779FC-A1E9-4E35-A94B-B59A952AEA83}" keepAlive="1" name="Query - Vietnam" description="Connection to the 'Vietnam' query in the workbook." type="5" refreshedVersion="8" background="1" saveData="1">
    <dbPr connection="Provider=Microsoft.Mashup.OleDb.1;Data Source=$Workbook$;Location=Vietnam;Extended Properties=&quot;&quot;" command="SELECT * FROM [Vietnam]"/>
  </connection>
  <connection id="21" xr16:uid="{6BA11D7D-63CE-4782-9857-1A39ABBA30B1}" keepAlive="1" name="Query - Vietnam_HP" description="Connection to the 'Vietnam_HP' query in the workbook." type="5" refreshedVersion="8" background="1" saveData="1">
    <dbPr connection="Provider=Microsoft.Mashup.OleDb.1;Data Source=$Workbook$;Location=Vietnam_HP;Extended Properties=&quot;&quot;" command="SELECT * FROM [Vietnam_HP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<sst xmlns="http://schemas.openxmlformats.org/spreadsheetml/2006/main" count="7340" uniqueCount="202">
  <si>
    <t>Country</t>
  </si>
  <si>
    <t>Vietnam</t>
  </si>
  <si>
    <t>Variable</t>
  </si>
  <si>
    <t>Historical Production</t>
  </si>
  <si>
    <t>N Technology</t>
  </si>
  <si>
    <t>Data</t>
  </si>
  <si>
    <t>Comparison</t>
  </si>
  <si>
    <t>LEAP</t>
  </si>
  <si>
    <t>EBT</t>
  </si>
  <si>
    <t>Year</t>
  </si>
  <si>
    <t>Fuel</t>
  </si>
  <si>
    <t>Value</t>
  </si>
  <si>
    <t>∆</t>
  </si>
  <si>
    <t/>
  </si>
  <si>
    <t>Biogas</t>
  </si>
  <si>
    <t>Brunei</t>
  </si>
  <si>
    <t>Biomass Gasification</t>
  </si>
  <si>
    <t>Cambodia</t>
  </si>
  <si>
    <t>Biomass Other</t>
  </si>
  <si>
    <t>Indonesia</t>
  </si>
  <si>
    <t>Laos</t>
  </si>
  <si>
    <t>Coal based IGCC</t>
  </si>
  <si>
    <t>Malaysia</t>
  </si>
  <si>
    <t>Myanmar</t>
  </si>
  <si>
    <t>Coal Subcritical</t>
  </si>
  <si>
    <t>Philippines</t>
  </si>
  <si>
    <t>Coal Supercritical</t>
  </si>
  <si>
    <t>Singapore</t>
  </si>
  <si>
    <t>Thailand</t>
  </si>
  <si>
    <t>Coal Ultrasupercritical (USC)</t>
  </si>
  <si>
    <t>Diesel Oil</t>
  </si>
  <si>
    <t>Fuel Oil (Heavy Oil)</t>
  </si>
  <si>
    <t>Combined Cycle Gas Turbine</t>
  </si>
  <si>
    <t>Combined Cycle Gas Turbine (34%)</t>
  </si>
  <si>
    <t>Gas Engine</t>
  </si>
  <si>
    <t>Natural Gas Engine (29%)</t>
  </si>
  <si>
    <t>Natural gas based Gas Turbine</t>
  </si>
  <si>
    <t>Natural gas based Gas Turbine (37%)</t>
  </si>
  <si>
    <t>Geothermal</t>
  </si>
  <si>
    <t>Large Hydro</t>
  </si>
  <si>
    <t>Pumped Hydro Storage</t>
  </si>
  <si>
    <t>Small Hydro</t>
  </si>
  <si>
    <t>Solar PV</t>
  </si>
  <si>
    <t>Waste to Energy</t>
  </si>
  <si>
    <t>Wind Turbine</t>
  </si>
  <si>
    <t>Technology</t>
  </si>
  <si>
    <t>Unit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</si>
  <si>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</si>
  <si>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</si>
  <si>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</si>
  <si>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</si>
  <si>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</si>
  <si>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</si>
  <si>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</si>
  <si>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</si>
  <si>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</si>
  <si>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</si>
  <si>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</si>
  <si>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</si>
  <si>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</si>
  <si>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</si>
  <si>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</si>
  <si>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</si>
  <si>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</si>
  <si>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</si>
  <si>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</si>
  <si>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</si>
  <si>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GWh</t>
  </si>
  <si>
    <t>Coal with CCS</t>
  </si>
  <si>
    <t>Coal based IGCC with CCS</t>
  </si>
  <si>
    <t>Oil based Gas Turbine</t>
  </si>
  <si>
    <t>Other IGCC</t>
  </si>
  <si>
    <t>Natural gas based IGCC</t>
  </si>
  <si>
    <t>Nuclear</t>
  </si>
  <si>
    <t>Solar Thermal</t>
  </si>
  <si>
    <t>Ocean</t>
  </si>
  <si>
    <t>Biomass Gasification with CCS</t>
  </si>
  <si>
    <t>Biodiesel</t>
  </si>
  <si>
    <t>Fuel Cell (Hydrogen)</t>
  </si>
  <si>
    <t>Battery</t>
  </si>
  <si>
    <t>Others</t>
  </si>
  <si>
    <t>Total</t>
  </si>
  <si>
    <t>Combined Cycle Gas Turbine (56%)</t>
  </si>
  <si>
    <t>Natural Gas Engine (7%)</t>
  </si>
  <si>
    <t>Area:</t>
  </si>
  <si>
    <t>aeo9_v0.34_YY</t>
  </si>
  <si>
    <t>Ver:</t>
  </si>
  <si>
    <t>BranchID</t>
  </si>
  <si>
    <t>VariableID</t>
  </si>
  <si>
    <t>ScenarioID</t>
  </si>
  <si>
    <t>RegionID</t>
  </si>
  <si>
    <t>Branch Path</t>
  </si>
  <si>
    <t>Scenario</t>
  </si>
  <si>
    <t>Region</t>
  </si>
  <si>
    <t>Scale</t>
  </si>
  <si>
    <t>Units</t>
  </si>
  <si>
    <t>Per...</t>
  </si>
  <si>
    <t>Method</t>
  </si>
  <si>
    <t>Transformation\Centralized Electricity Generation\Processes\Coal Subcritical</t>
  </si>
  <si>
    <t>Current Accounts</t>
  </si>
  <si>
    <t>Gigawatt-Hour</t>
  </si>
  <si>
    <t>Interp</t>
  </si>
  <si>
    <t>Existing Capacity</t>
  </si>
  <si>
    <t>MW</t>
  </si>
  <si>
    <t>Transformation\Centralized Electricity Generation\Processes\Coal Supercritical</t>
  </si>
  <si>
    <t>Transformation\Centralized Electricity Generation\Processes\Coal Ultrasupercritical</t>
  </si>
  <si>
    <t>Transformation\Centralized Electricity Generation\Processes\Coal Supercritical CCS</t>
  </si>
  <si>
    <t>Transformation\Centralized Electricity Generation\Processes\Coal Ultrasupercritical CCS</t>
  </si>
  <si>
    <t>Transformation\Centralized Electricity Generation\Processes\Coal IGCC</t>
  </si>
  <si>
    <t>Transformation\Centralized Electricity Generation\Processes\Coal IGCC with CCS</t>
  </si>
  <si>
    <t>Transformation\Centralized Electricity Generation\Processes\Diesel</t>
  </si>
  <si>
    <t>Transformation\Centralized Electricity Generation\Processes\Fuel Oil</t>
  </si>
  <si>
    <t>Transformation\Centralized Electricity Generation\Processes\Gas Turbine</t>
  </si>
  <si>
    <t>Transformation\Centralized Electricity Generation\Processes\Gas Engine</t>
  </si>
  <si>
    <t>Transformation\Centralized Electricity Generation\Processes\Gas Steam</t>
  </si>
  <si>
    <t>Transformation\Centralized Electricity Generation\Processes\Gas Combined Cycle</t>
  </si>
  <si>
    <t>Transformation\Centralized Electricity Generation\Processes\Gas Combined Cycle with CCS</t>
  </si>
  <si>
    <t>Transformation\Centralized Electricity Generation\Processes\Nuclear LWR</t>
  </si>
  <si>
    <t>Transformation\Centralized Electricity Generation\Processes\Nuclear SMR</t>
  </si>
  <si>
    <t>Transformation\Centralized Electricity Generation\Processes\Nuclear SFR</t>
  </si>
  <si>
    <t>Transformation\Centralized Electricity Generation\Processes\Large Hydro</t>
  </si>
  <si>
    <t>Transformation\Centralized Electricity Generation\Processes\Small Hydro</t>
  </si>
  <si>
    <t>Transformation\Centralized Electricity Generation\Processes\Geothermal Flash</t>
  </si>
  <si>
    <t>Transformation\Centralized Electricity Generation\Processes\Geothermal ORC</t>
  </si>
  <si>
    <t>Transformation\Centralized Electricity Generation\Processes\Solar PV</t>
  </si>
  <si>
    <t>Transformation\Centralized Electricity Generation\Processes\Solar CSP</t>
  </si>
  <si>
    <t>Transformation\Centralized Electricity Generation\Processes\Solar Floating</t>
  </si>
  <si>
    <t>Transformation\Centralized Electricity Generation\Processes\Tidal</t>
  </si>
  <si>
    <t>Transformation\Centralized Electricity Generation\Processes\Wave</t>
  </si>
  <si>
    <t>Transformation\Centralized Electricity Generation\Processes\Wind Onshore</t>
  </si>
  <si>
    <t>Transformation\Centralized Electricity Generation\Processes\Wind Offshore</t>
  </si>
  <si>
    <t>Transformation\Centralized Electricity Generation\Processes\Biomass Other</t>
  </si>
  <si>
    <t>Transformation\Centralized Electricity Generation\Processes\Biomass Gasification</t>
  </si>
  <si>
    <t>Transformation\Centralized Electricity Generation\Processes\Bioenergy with CCS</t>
  </si>
  <si>
    <t>Transformation\Centralized Electricity Generation\Processes\Biogas</t>
  </si>
  <si>
    <t>Transformation\Centralized Electricity Generation\Processes\Waste</t>
  </si>
  <si>
    <t>Transformation\Centralized Electricity Generation\Processes\Lithium Ion Batteries</t>
  </si>
  <si>
    <t>Transformation\Centralized Electricity Generation\Processes\Pumped Hydro</t>
  </si>
  <si>
    <t>Transformation\Centralized Electricity Generation\Processes\CAES</t>
  </si>
  <si>
    <t>Transformation\Centralized Electricity Generation\Processes\VRB Flow Batteries</t>
  </si>
  <si>
    <t>Transformation\Centralized Electricity Generation\Processes\Direct Air Capture</t>
  </si>
  <si>
    <t>Transformation\Centralized Electricity Generation\Processes\H2 Fuel Cell</t>
  </si>
  <si>
    <t>Transformation\Centralized Electricity Generation\Processes\Unmet Load</t>
  </si>
  <si>
    <t>Name</t>
  </si>
  <si>
    <t>Extension</t>
  </si>
  <si>
    <t>Date accessed</t>
  </si>
  <si>
    <t>Date modified</t>
  </si>
  <si>
    <t>Date created</t>
  </si>
  <si>
    <t>Folder Path</t>
  </si>
  <si>
    <t>Brunei_EBT Actual.xlsx</t>
  </si>
  <si>
    <t>.xlsx</t>
  </si>
  <si>
    <t>https://aseanenergy.sharepoint.com/AEDS/Working Data Structure/01. Energy Balance Table (EBT)/ACE EBT data list (EBT Actual)/</t>
  </si>
  <si>
    <t>Cambodia_EBT Actual.xlsx</t>
  </si>
  <si>
    <t>Malaysia_EBT Actual.xlsx</t>
  </si>
  <si>
    <t>Myanmar_EBT Actual.xlsx</t>
  </si>
  <si>
    <t>Laos_EBT Actual.xlsx</t>
  </si>
  <si>
    <t>Singapore_EBT Actual.xlsx</t>
  </si>
  <si>
    <t>Philippines_EBT Actual.xlsx</t>
  </si>
  <si>
    <t>Thailand_EBT Actual.xlsx</t>
  </si>
  <si>
    <t>Vietnam_EBT Actual.xlsx</t>
  </si>
  <si>
    <t>Indonesia_EBT Actual (updated).xlsx</t>
  </si>
  <si>
    <t>_Data Checking Notes_update up to 2024.docx</t>
  </si>
  <si>
    <t>.docx</t>
  </si>
  <si>
    <t>Singapore_EBT Actual (Copy SES 2009-2024).xlsx</t>
  </si>
  <si>
    <t>Notes:</t>
  </si>
  <si>
    <t>Vietnam data is not fixed yet</t>
  </si>
  <si>
    <t>Source</t>
  </si>
  <si>
    <t>Notes</t>
  </si>
  <si>
    <t>MYPE</t>
  </si>
  <si>
    <t>MYenergySTats</t>
  </si>
  <si>
    <t>2020-2024 from PIN, 2005-2019 fractioned from LEAP file</t>
  </si>
  <si>
    <t>Branch</t>
  </si>
  <si>
    <t>Diesel</t>
  </si>
  <si>
    <t>Gas Combined Cycle</t>
  </si>
  <si>
    <t>MYSB</t>
  </si>
  <si>
    <t>ST National Energy Balance (2020-2022)</t>
  </si>
  <si>
    <t>Fractioned</t>
  </si>
  <si>
    <t>MYSR</t>
  </si>
  <si>
    <t>Coal Subcritical_MYPE</t>
  </si>
  <si>
    <t>Annual System Cost</t>
  </si>
  <si>
    <t>Fractions</t>
  </si>
  <si>
    <t>Diesel_MYPE</t>
  </si>
  <si>
    <t>Annual System Cost (RM billion)</t>
  </si>
  <si>
    <t>Gas Combined Cycle_MYPE</t>
  </si>
  <si>
    <t>Large Hydro_MYPE</t>
  </si>
  <si>
    <t>Solar PV_MYPE</t>
  </si>
  <si>
    <t>Biomass Other_MYPE</t>
  </si>
  <si>
    <t>Diesel_MYSB</t>
  </si>
  <si>
    <t>Gas Combined Cycle_MYSB</t>
  </si>
  <si>
    <t>Large Hydro_MYSB</t>
  </si>
  <si>
    <t>Solar PV_MYSB</t>
  </si>
  <si>
    <t>Biomass Other_MYSB</t>
  </si>
  <si>
    <t>Coal Subcritical_MYSR</t>
  </si>
  <si>
    <t>Diesel_MYSR</t>
  </si>
  <si>
    <t>Gas Combined Cycle_MYSR</t>
  </si>
  <si>
    <t>Large Hydro_MYSR</t>
  </si>
  <si>
    <t>Biomass Other_MYSR</t>
  </si>
  <si>
    <t>Installed Capacity (PIN)</t>
  </si>
  <si>
    <t>Original Data</t>
  </si>
  <si>
    <t>Altered</t>
  </si>
  <si>
    <t>Factors</t>
  </si>
  <si>
    <t>Fractioned from LEAP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</si>
</sst>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Continuous"/>
    </xf>
    <xf numFmtId="0" fontId="0" fillId="0" borderId="0" xfId="0" applyAlignment="1">
      <alignment horizontal="centerContinuous"/>
    </xf>
    <xf numFmtId="0" fontId="0" fillId="4" borderId="0" xfId="0" applyFill="1" applyAlignment="1">
      <alignment horizontal="centerContinuous"/>
    </xf>
    <xf numFmtId="4" fontId="0" fillId="0" borderId="0" xfId="0" applyNumberFormat="1"/>
    <xf numFmtId="4" fontId="0" fillId="3" borderId="0" xfId="0" applyNumberFormat="1" applyFill="1" applyAlignment="1">
      <alignment horizontal="centerContinuous"/>
    </xf>
    <xf numFmtId="4" fontId="0" fillId="4" borderId="0" xfId="0" applyNumberFormat="1" applyFill="1" applyAlignment="1">
      <alignment horizontal="centerContinuous"/>
    </xf>
    <xf numFmtId="0" fontId="1" fillId="5" borderId="0" xfId="0" applyFont="1" applyFill="1" applyAlignment="1">
      <alignment horizontal="centerContinuous"/>
    </xf>
    <xf numFmtId="0" fontId="0" fillId="5" borderId="0" xfId="0" applyFill="1" applyAlignment="1">
      <alignment horizontal="centerContinuous"/>
    </xf>
    <xf numFmtId="4" fontId="0" fillId="5" borderId="0" xfId="0" applyNumberFormat="1" applyFill="1" applyAlignment="1">
      <alignment horizontal="centerContinuous"/>
    </xf>
    <xf numFmtId="3" fontId="0" fillId="0" borderId="0" xfId="0" applyNumberFormat="1"/>
    <xf numFmtId="3" fontId="0" fillId="5" borderId="0" xfId="0" applyNumberFormat="1" applyFill="1" applyAlignment="1">
      <alignment horizontal="centerContinuous"/>
    </xf>
    <xf numFmtId="3" fontId="0" fillId="4" borderId="0" xfId="0" applyNumberFormat="1" applyFill="1" applyAlignment="1">
      <alignment horizontal="centerContinuous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3" borderId="0" xfId="0" applyFill="1"/>
    <xf numFmtId="0" fontId="4" fillId="0" borderId="0" xfId="0" applyFont="1"/>
    <xf numFmtId="3" fontId="0" fillId="3" borderId="0" xfId="0" applyNumberFormat="1" applyFill="1"/>
    <xf numFmtId="0" fontId="1" fillId="0" borderId="0" xfId="0" applyFont="1" applyAlignment="1">
      <alignment horizontal="center"/>
    </xf>
    <xf numFmtId="1" fontId="0" fillId="0" borderId="0" xfId="0" applyNumberFormat="1"/>
    <xf numFmtId="1" fontId="1" fillId="0" borderId="0" xfId="0" applyNumberFormat="1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9" fontId="0" fillId="0" borderId="0" xfId="1" applyFont="1" applyBorder="1"/>
    <xf numFmtId="9" fontId="0" fillId="0" borderId="6" xfId="1" applyFont="1" applyBorder="1"/>
    <xf numFmtId="0" fontId="0" fillId="0" borderId="7" xfId="0" applyBorder="1"/>
    <xf numFmtId="9" fontId="0" fillId="0" borderId="7" xfId="1" applyFont="1" applyBorder="1"/>
    <xf numFmtId="9" fontId="0" fillId="0" borderId="8" xfId="1" applyFont="1" applyBorder="1"/>
    <xf numFmtId="9" fontId="0" fillId="0" borderId="2" xfId="1" applyFont="1" applyBorder="1"/>
    <xf numFmtId="9" fontId="0" fillId="0" borderId="3" xfId="1" applyFont="1" applyBorder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80"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6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ransformation/leap%20extracted%20transformation.xlsx" TargetMode="External"/><Relationship Id="rId2" Type="http://schemas.openxmlformats.org/officeDocument/2006/relationships/externalLinkPath" Target="https://aseanenergy-my.sharepoint.com/personal/flavia_frederick_aseanenergy_org/Documents/Work/AEO9/Modelling/Transformation/leap%20extracted%20transformation.xlsx" TargetMode="External"/><Relationship Id="rId1" Type="http://schemas.openxmlformats.org/officeDocument/2006/relationships/externalLinkPath" Target="/personal/flavia_frederick_aseanenergy_org/Documents/Work/AEO9/Modelling/Transformation/leap%20extracted%20transform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"/>
      <sheetName val="CA_ori"/>
      <sheetName val="Malaysia"/>
      <sheetName val="List"/>
      <sheetName val="Input Malaysia"/>
      <sheetName val="Input_MYS_Adj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1" xr16:uid="{CDB5809A-1EFE-4686-83F5-090AD29061B9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9" xr16:uid="{EB055F96-E809-4465-864C-1A0F551E3905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6" xr16:uid="{1C22AAFF-11D4-4158-9AD8-B9C28F099A78}" autoFormatId="16" applyNumberFormats="0" applyBorderFormats="0" applyFontFormats="0" applyPatternFormats="0" applyAlignmentFormats="0" applyWidthHeightFormats="0">
  <queryTableRefresh nextId="27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6" name="2024" tableColumnId="2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4" xr16:uid="{0FDED8A8-1678-4EA9-91CB-55ED9D9334DA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48F61753-E0C3-4374-9B6E-360A9932A1A3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9A4C931B-34AC-4E62-B102-1267C68F3A93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1A09FBE4-ED26-491A-A60D-C6CE0C51D18C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C15C8E15-A63F-4AA4-8C7C-9E16F8DA42C9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E6340D9-58BE-4A50-824F-D076BD57DD24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2A905F-3729-4FAE-B594-C37B33547604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D2E1F91-1225-4A4E-BE55-26858BEA958C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6676086-9C44-4CD8-99F6-216E989E7CFB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D00EC8D3-FCA9-404B-A35E-F1D6FE1470C3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9C389D4C-7952-43C2-BD2F-8FB03F0371E4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2EACCFD9-AE90-4B9A-9994-5EF5EC2CDFF6}" autoFormatId="16" applyNumberFormats="0" applyBorderFormats="0" applyFontFormats="0" applyPatternFormats="0" applyAlignmentFormats="0" applyWidthHeightFormats="0">
  <queryTableRefresh nextId="27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67BDAC16-5A10-4A9F-BEC4-F49EC4418A20}" autoFormatId="16" applyNumberFormats="0" applyBorderFormats="0" applyFontFormats="0" applyPatternFormats="0" applyAlignmentFormats="0" applyWidthHeightFormats="0">
  <queryTableRefresh nextId="27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C018EE05-0B06-4204-8B6F-8F684167A53A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5" xr16:uid="{B5D8D2E3-A40C-4302-9D59-B6D712033804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8" xr16:uid="{B38C9670-11BD-44C7-822B-40E1E10DD5CF}" autoFormatId="16" applyNumberFormats="0" applyBorderFormats="0" applyFontFormats="0" applyPatternFormats="0" applyAlignmentFormats="0" applyWidthHeightFormats="0">
  <queryTableRefresh nextId="23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0" xr16:uid="{F1FF8C09-A33F-4BC0-8822-892BE0DA7A04}" autoFormatId="16" applyNumberFormats="0" applyBorderFormats="0" applyFontFormats="0" applyPatternFormats="0" applyAlignmentFormats="0" applyWidthHeightFormats="0">
  <queryTableRefresh nextId="26">
    <queryTableFields count="22">
      <queryTableField id="1" name="Technology" tableColumnId="1"/>
      <queryTableField id="2" name="Unit" tableColumnId="2"/>
      <queryTableField id="3" name="2005" tableColumnId="3"/>
      <queryTableField id="4" name="2006" tableColumnId="4"/>
      <queryTableField id="5" name="2007" tableColumnId="5"/>
      <queryTableField id="6" name="2008" tableColumnId="6"/>
      <queryTableField id="7" name="2009" tableColumnId="7"/>
      <queryTableField id="8" name="2010" tableColumnId="8"/>
      <queryTableField id="9" name="2011" tableColumnId="9"/>
      <queryTableField id="10" name="2012" tableColumnId="10"/>
      <queryTableField id="11" name="2013" tableColumnId="11"/>
      <queryTableField id="12" name="2014" tableColumnId="12"/>
      <queryTableField id="13" name="2015" tableColumnId="13"/>
      <queryTableField id="14" name="2016" tableColumnId="14"/>
      <queryTableField id="15" name="2017" tableColumnId="15"/>
      <queryTableField id="16" name="2018" tableColumnId="16"/>
      <queryTableField id="17" name="2019" tableColumnId="17"/>
      <queryTableField id="18" name="2020" tableColumnId="18"/>
      <queryTableField id="19" name="2021" tableColumnId="19"/>
      <queryTableField id="20" name="2022" tableColumnId="20"/>
      <queryTableField id="21" name="2023" tableColumnId="21"/>
      <queryTableField id="22" name="2024" tableColumnId="22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17EA4A90-0604-4FA0-A723-5042A7B2714D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FE43060-653A-4DCC-8991-35D774193F00}" name="Vietnam_HP" displayName="Vietnam_HP" ref="A1:V34" tableType="queryTable" totalsRowShown="0">
  <autoFilter ref="A1:V34" xr:uid="{1FE43060-653A-4DCC-8991-35D774193F00}"/>
  <tableColumns count="22">
    <tableColumn id="1" xr3:uid="{FC08E431-912C-4DC4-81DC-318D04B4782A}" uniqueName="1" name="Technology" queryTableFieldId="1" dataDxfId="79"/>
    <tableColumn id="2" xr3:uid="{E1E96C26-0461-4E5E-B9DD-0A0319EC0340}" uniqueName="2" name="Unit" queryTableFieldId="2" dataDxfId="78"/>
    <tableColumn id="3" xr3:uid="{83ECDED9-F2CC-4BFB-BA60-01D8B0501680}" uniqueName="3" name="2005" queryTableFieldId="3"/>
    <tableColumn id="4" xr3:uid="{0E14F255-878E-44F6-8A42-E4CD7F3E6678}" uniqueName="4" name="2006" queryTableFieldId="4"/>
    <tableColumn id="5" xr3:uid="{6F7843C0-745F-42B7-8AFF-0B38A75EF88F}" uniqueName="5" name="2007" queryTableFieldId="5"/>
    <tableColumn id="6" xr3:uid="{CA74A286-97C4-42F5-A796-A2D82ABC3489}" uniqueName="6" name="2008" queryTableFieldId="6"/>
    <tableColumn id="7" xr3:uid="{1550D386-9A0D-4E14-A181-969470AFBD30}" uniqueName="7" name="2009" queryTableFieldId="7"/>
    <tableColumn id="8" xr3:uid="{4F2E3131-0277-405A-B793-62F6E14197ED}" uniqueName="8" name="2010" queryTableFieldId="8"/>
    <tableColumn id="9" xr3:uid="{6F096E98-3FAF-4E60-9836-BE536BE3181A}" uniqueName="9" name="2011" queryTableFieldId="9"/>
    <tableColumn id="10" xr3:uid="{991D99BF-6EF8-42F7-AADD-2BF135037417}" uniqueName="10" name="2012" queryTableFieldId="10"/>
    <tableColumn id="11" xr3:uid="{FDA7E24A-E987-4681-8B33-88A852F29DF6}" uniqueName="11" name="2013" queryTableFieldId="11"/>
    <tableColumn id="12" xr3:uid="{3F9DAA84-6373-47D7-B433-50D6B25F4AA3}" uniqueName="12" name="2014" queryTableFieldId="12"/>
    <tableColumn id="13" xr3:uid="{4E7F8AB6-F7A5-41D7-9F75-FD3127498067}" uniqueName="13" name="2015" queryTableFieldId="13"/>
    <tableColumn id="14" xr3:uid="{1F755C72-1329-4F98-9F0B-830CD474747D}" uniqueName="14" name="2016" queryTableFieldId="14"/>
    <tableColumn id="15" xr3:uid="{E434DB71-B73D-4252-85A7-F399F73489EB}" uniqueName="15" name="2017" queryTableFieldId="15"/>
    <tableColumn id="16" xr3:uid="{0D23BC18-6FF3-4E89-B772-50564CF162D6}" uniqueName="16" name="2018" queryTableFieldId="16"/>
    <tableColumn id="17" xr3:uid="{BF5BEB57-5256-4E96-BCC9-2969096FDD41}" uniqueName="17" name="2019" queryTableFieldId="17"/>
    <tableColumn id="18" xr3:uid="{10D32405-106D-4850-BC56-E113B95BFA2F}" uniqueName="18" name="2020" queryTableFieldId="18"/>
    <tableColumn id="19" xr3:uid="{4677C029-9CCF-4315-AADD-E2A6F78616BB}" uniqueName="19" name="2021" queryTableFieldId="19"/>
    <tableColumn id="20" xr3:uid="{BE71B04F-700C-4D86-9F31-38C916246178}" uniqueName="20" name="2022" queryTableFieldId="20"/>
    <tableColumn id="21" xr3:uid="{5E238E8B-EE48-46E7-A18A-ABDAE94BE3B9}" uniqueName="21" name="2023" queryTableFieldId="21"/>
    <tableColumn id="22" xr3:uid="{B09C8AC3-3947-49DE-830D-7AB1361B97CF}" uniqueName="22" name="2024" queryTableField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2016F9E-2D27-4366-9F5B-4A6D0CC14F5C}" name="Thailand_HP" displayName="Thailand_HP" ref="A1:V34" tableType="queryTable" totalsRowShown="0">
  <autoFilter ref="A1:V34" xr:uid="{D2016F9E-2D27-4366-9F5B-4A6D0CC14F5C}"/>
  <tableColumns count="22">
    <tableColumn id="1" xr3:uid="{0352E892-9897-4A7D-BD91-FA40358D44A1}" uniqueName="1" name="Technology" queryTableFieldId="1" dataDxfId="77"/>
    <tableColumn id="2" xr3:uid="{7D175444-E162-4959-8356-EEE0ED3B6636}" uniqueName="2" name="Unit" queryTableFieldId="2" dataDxfId="76"/>
    <tableColumn id="3" xr3:uid="{E6646386-B5B0-4A7A-9719-65F0A7CC8238}" uniqueName="3" name="2005" queryTableFieldId="3"/>
    <tableColumn id="4" xr3:uid="{6A097FDA-7CB6-4E02-B0FC-1A304E4C8946}" uniqueName="4" name="2006" queryTableFieldId="4"/>
    <tableColumn id="5" xr3:uid="{A9CA81BD-3B42-4D8A-B6A5-A47EE875F0CA}" uniqueName="5" name="2007" queryTableFieldId="5"/>
    <tableColumn id="6" xr3:uid="{9338F9AA-EDF2-49A0-97E6-9DEB5D93E52A}" uniqueName="6" name="2008" queryTableFieldId="6"/>
    <tableColumn id="7" xr3:uid="{E4183A7E-CD88-4EEE-9051-05ADF0F2BB31}" uniqueName="7" name="2009" queryTableFieldId="7"/>
    <tableColumn id="8" xr3:uid="{09157300-427B-40D1-BDD9-42B59D7A58FC}" uniqueName="8" name="2010" queryTableFieldId="8"/>
    <tableColumn id="9" xr3:uid="{0A4AB52E-315A-4528-9325-97D45158436F}" uniqueName="9" name="2011" queryTableFieldId="9"/>
    <tableColumn id="10" xr3:uid="{AE32A7D6-B2BD-4A6B-9148-BB313E3A7E82}" uniqueName="10" name="2012" queryTableFieldId="10"/>
    <tableColumn id="11" xr3:uid="{FC9EA5D9-4FB6-4C19-98E0-D1D7EA3BDB35}" uniqueName="11" name="2013" queryTableFieldId="11"/>
    <tableColumn id="12" xr3:uid="{69919F29-EBE8-4D58-B054-D3FB0D6D3E0B}" uniqueName="12" name="2014" queryTableFieldId="12"/>
    <tableColumn id="13" xr3:uid="{7940041B-A598-44C2-89F4-D06C43266B54}" uniqueName="13" name="2015" queryTableFieldId="13"/>
    <tableColumn id="14" xr3:uid="{3E951E74-ECD9-4F70-A1B0-DD28789239E4}" uniqueName="14" name="2016" queryTableFieldId="14"/>
    <tableColumn id="15" xr3:uid="{A64D58EE-4ADA-4EE3-8F0F-CC353D127F04}" uniqueName="15" name="2017" queryTableFieldId="15"/>
    <tableColumn id="16" xr3:uid="{81E42347-5C81-4C96-9FE2-B0754295CEF8}" uniqueName="16" name="2018" queryTableFieldId="16"/>
    <tableColumn id="17" xr3:uid="{5428A090-6D5F-4F3A-9241-64F53F5350A1}" uniqueName="17" name="2019" queryTableFieldId="17"/>
    <tableColumn id="18" xr3:uid="{C3AC361B-B571-4035-A44F-96F59A752341}" uniqueName="18" name="2020" queryTableFieldId="18"/>
    <tableColumn id="19" xr3:uid="{117892F7-4BEA-4CEA-87B2-4331269C4379}" uniqueName="19" name="2021" queryTableFieldId="19"/>
    <tableColumn id="20" xr3:uid="{6257D1FE-FBF3-4DC3-A34D-CA1A89B8AF57}" uniqueName="20" name="2022" queryTableFieldId="20"/>
    <tableColumn id="21" xr3:uid="{AD2133BE-C000-443A-8F36-523BD2B5A37D}" uniqueName="21" name="2023" queryTableFieldId="21"/>
    <tableColumn id="22" xr3:uid="{7C82FF76-D06E-470C-9440-253D4D406C1E}" uniqueName="22" name="2024" queryTableField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03123DA-162E-4D8A-8EE5-F28F73C164EC}" name="Singapore_HP" displayName="Singapore_HP" ref="A1:V34" tableType="queryTable" totalsRowShown="0">
  <autoFilter ref="A1:V34" xr:uid="{803123DA-162E-4D8A-8EE5-F28F73C164EC}"/>
  <tableColumns count="22">
    <tableColumn id="1" xr3:uid="{81005637-14A8-4051-8339-3CAF382AC3D6}" uniqueName="1" name="Technology" queryTableFieldId="1" dataDxfId="75"/>
    <tableColumn id="2" xr3:uid="{EF3B8108-8C5C-4BBB-859D-BAEFABBC27D9}" uniqueName="2" name="Unit" queryTableFieldId="2" dataDxfId="74"/>
    <tableColumn id="3" xr3:uid="{F06D7D5D-A142-4E16-86C8-AC230B0EFBA0}" uniqueName="3" name="2005" queryTableFieldId="3"/>
    <tableColumn id="4" xr3:uid="{1E76898A-9358-42D1-B382-FD17D6CA8CD8}" uniqueName="4" name="2006" queryTableFieldId="4"/>
    <tableColumn id="5" xr3:uid="{0923AB5C-330D-413F-B44B-DBCB038064FB}" uniqueName="5" name="2007" queryTableFieldId="5"/>
    <tableColumn id="6" xr3:uid="{D9C1C774-D599-4B07-850E-933A12302402}" uniqueName="6" name="2008" queryTableFieldId="6"/>
    <tableColumn id="7" xr3:uid="{4B26A798-3960-4EC9-85CC-679E12B96C4C}" uniqueName="7" name="2009" queryTableFieldId="7"/>
    <tableColumn id="8" xr3:uid="{C9D96769-3BFD-4C74-B547-C49B14AD5448}" uniqueName="8" name="2010" queryTableFieldId="8"/>
    <tableColumn id="9" xr3:uid="{1B88351B-D493-4101-A059-E8CD56AF138F}" uniqueName="9" name="2011" queryTableFieldId="9"/>
    <tableColumn id="10" xr3:uid="{5B7C08E9-1C57-4570-B10A-81F537C1A5BC}" uniqueName="10" name="2012" queryTableFieldId="10"/>
    <tableColumn id="11" xr3:uid="{A2DBE0EB-B695-494B-8EC9-036B36CD265E}" uniqueName="11" name="2013" queryTableFieldId="11"/>
    <tableColumn id="12" xr3:uid="{ED509523-78C4-4B9B-8922-903387BF7808}" uniqueName="12" name="2014" queryTableFieldId="12"/>
    <tableColumn id="13" xr3:uid="{D20A81D1-DE01-4C39-BABB-9255B5C7A74A}" uniqueName="13" name="2015" queryTableFieldId="13"/>
    <tableColumn id="14" xr3:uid="{F96E65F6-3D65-4242-8581-694989EE1535}" uniqueName="14" name="2016" queryTableFieldId="14"/>
    <tableColumn id="15" xr3:uid="{F91CED0C-922A-4869-93AF-9FC9DC28610C}" uniqueName="15" name="2017" queryTableFieldId="15"/>
    <tableColumn id="16" xr3:uid="{90525C70-B183-426E-A1F6-0FD61ED9D459}" uniqueName="16" name="2018" queryTableFieldId="16"/>
    <tableColumn id="17" xr3:uid="{827444CD-4FF8-4CC9-9908-7C896BB5A1F2}" uniqueName="17" name="2019" queryTableFieldId="17"/>
    <tableColumn id="18" xr3:uid="{D25BA951-6C49-4D64-BFFA-0FDC9DAB97AE}" uniqueName="18" name="2020" queryTableFieldId="18"/>
    <tableColumn id="19" xr3:uid="{AE28B413-3743-4D97-B8D4-F9CDFF7BAB2C}" uniqueName="19" name="2021" queryTableFieldId="19"/>
    <tableColumn id="20" xr3:uid="{E5ECD85D-D6CF-4872-8D83-BF23AAA6A5E8}" uniqueName="20" name="2022" queryTableFieldId="20"/>
    <tableColumn id="21" xr3:uid="{50C5E239-DF88-419A-BB4A-D53B4A7D0DA4}" uniqueName="21" name="2023" queryTableFieldId="21" dataDxfId="73"/>
    <tableColumn id="26" xr3:uid="{CC0A1BD3-7C64-403E-B0B9-C52FD9F73E08}" uniqueName="26" name="2024" queryTableFieldId="26" dataDxfId="7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A8E9E2-1080-45FB-B121-AE8DCAC0D7F8}" name="Philippines_HP" displayName="Philippines_HP" ref="A1:V32" tableType="queryTable" totalsRowShown="0">
  <autoFilter ref="A1:V32" xr:uid="{97A8E9E2-1080-45FB-B121-AE8DCAC0D7F8}"/>
  <tableColumns count="22">
    <tableColumn id="1" xr3:uid="{CDC7C2E6-F89D-4F98-9295-5AE655A1BC08}" uniqueName="1" name="Technology" queryTableFieldId="1" dataDxfId="71"/>
    <tableColumn id="2" xr3:uid="{F145CDBF-5B4A-42D4-857F-E3B3FED10FE3}" uniqueName="2" name="Unit" queryTableFieldId="2" dataDxfId="70"/>
    <tableColumn id="3" xr3:uid="{AAB2019C-F137-45C8-9C9A-8407264D90A1}" uniqueName="3" name="2005" queryTableFieldId="3"/>
    <tableColumn id="4" xr3:uid="{AD2CE8A5-3DBD-48C0-894D-E3049DC8EF7E}" uniqueName="4" name="2006" queryTableFieldId="4"/>
    <tableColumn id="5" xr3:uid="{E4CC9448-1C93-4040-BF4D-A9046BBEA5ED}" uniqueName="5" name="2007" queryTableFieldId="5"/>
    <tableColumn id="6" xr3:uid="{FC6AD98E-60A9-4521-8976-14C351B39EFF}" uniqueName="6" name="2008" queryTableFieldId="6"/>
    <tableColumn id="7" xr3:uid="{055328BC-B9C0-4CDC-8221-8E670B947995}" uniqueName="7" name="2009" queryTableFieldId="7"/>
    <tableColumn id="8" xr3:uid="{BC386740-F75B-4D5B-9B82-CF322FA2A79D}" uniqueName="8" name="2010" queryTableFieldId="8"/>
    <tableColumn id="9" xr3:uid="{BE5BFE5F-0948-4861-8CC4-11E48C324712}" uniqueName="9" name="2011" queryTableFieldId="9"/>
    <tableColumn id="10" xr3:uid="{6F351D30-BAC2-470D-849D-5816B9709075}" uniqueName="10" name="2012" queryTableFieldId="10"/>
    <tableColumn id="11" xr3:uid="{7E7B2C06-C359-4035-AC5C-CB515B2273B6}" uniqueName="11" name="2013" queryTableFieldId="11"/>
    <tableColumn id="12" xr3:uid="{9A416E9E-594F-4AF3-BAB0-A5D4DC942168}" uniqueName="12" name="2014" queryTableFieldId="12"/>
    <tableColumn id="13" xr3:uid="{F9231314-8D60-4241-A154-CE76263CD38C}" uniqueName="13" name="2015" queryTableFieldId="13"/>
    <tableColumn id="14" xr3:uid="{C663D0A0-3DAE-4523-956B-64B453C59E0C}" uniqueName="14" name="2016" queryTableFieldId="14"/>
    <tableColumn id="15" xr3:uid="{33A03C32-FE7F-461E-8EF1-11D91B1C57F6}" uniqueName="15" name="2017" queryTableFieldId="15"/>
    <tableColumn id="16" xr3:uid="{0096C98A-0196-466A-AC67-5A2F5EBB1133}" uniqueName="16" name="2018" queryTableFieldId="16"/>
    <tableColumn id="17" xr3:uid="{15C6C12D-B021-4C45-A865-75B490C058D7}" uniqueName="17" name="2019" queryTableFieldId="17"/>
    <tableColumn id="18" xr3:uid="{2AF9EC92-7675-40AC-9B12-1B0FCEE95AC8}" uniqueName="18" name="2020" queryTableFieldId="18"/>
    <tableColumn id="19" xr3:uid="{26CF8238-A20D-45D1-B43E-241F709A0E23}" uniqueName="19" name="2021" queryTableFieldId="19"/>
    <tableColumn id="20" xr3:uid="{3FCA811C-01CE-480B-8F07-BF31866A7BFF}" uniqueName="20" name="2022" queryTableFieldId="20"/>
    <tableColumn id="21" xr3:uid="{1965A1D8-DCC1-4424-9AD6-410DCBE9A644}" uniqueName="21" name="2023" queryTableFieldId="21"/>
    <tableColumn id="22" xr3:uid="{F68065C8-B2EF-4330-B2EC-7EE1F068B1C3}" uniqueName="22" name="2024" queryTableField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5731B25-4E9F-43F7-8F03-AE0088C822B1}" name="Myanmar_HP" displayName="Myanmar_HP" ref="A1:V33" tableType="queryTable" totalsRowShown="0">
  <autoFilter ref="A1:V33" xr:uid="{85731B25-4E9F-43F7-8F03-AE0088C822B1}"/>
  <tableColumns count="22">
    <tableColumn id="1" xr3:uid="{9549790B-4EAB-4830-A779-8FA9CC3F69A4}" uniqueName="1" name="Technology" queryTableFieldId="1" dataDxfId="69"/>
    <tableColumn id="2" xr3:uid="{6E13616C-46ED-451E-9280-609CD9538043}" uniqueName="2" name="Unit" queryTableFieldId="2" dataDxfId="68"/>
    <tableColumn id="3" xr3:uid="{F4A8B647-CD90-49CE-9EDE-497D0F4D459E}" uniqueName="3" name="2005" queryTableFieldId="3"/>
    <tableColumn id="4" xr3:uid="{8E16457E-F4B6-497E-BC13-795A2DA1F0D8}" uniqueName="4" name="2006" queryTableFieldId="4"/>
    <tableColumn id="5" xr3:uid="{F31BB009-8318-4D46-A844-938F1A91F9CD}" uniqueName="5" name="2007" queryTableFieldId="5"/>
    <tableColumn id="6" xr3:uid="{C21B7221-3015-4FC7-ABEB-0E4DFE7E3DB6}" uniqueName="6" name="2008" queryTableFieldId="6"/>
    <tableColumn id="7" xr3:uid="{F994BC34-5421-4379-88AB-29E589DF95E1}" uniqueName="7" name="2009" queryTableFieldId="7"/>
    <tableColumn id="8" xr3:uid="{A4D7858B-C888-42DD-A98B-0AF01EB6DB7F}" uniqueName="8" name="2010" queryTableFieldId="8"/>
    <tableColumn id="9" xr3:uid="{30B63FAF-2FF5-4309-AEEB-142B1EC46A24}" uniqueName="9" name="2011" queryTableFieldId="9"/>
    <tableColumn id="10" xr3:uid="{9E7A8367-F8B7-46AB-A9F1-009A5BE050E2}" uniqueName="10" name="2012" queryTableFieldId="10"/>
    <tableColumn id="11" xr3:uid="{06945BD0-B216-4C04-9A32-49B893AEF403}" uniqueName="11" name="2013" queryTableFieldId="11"/>
    <tableColumn id="12" xr3:uid="{22717799-526B-4B3A-B542-198EA215D6C3}" uniqueName="12" name="2014" queryTableFieldId="12"/>
    <tableColumn id="13" xr3:uid="{9B13CCAC-7411-4BEB-AC61-1DFD0596A86C}" uniqueName="13" name="2015" queryTableFieldId="13"/>
    <tableColumn id="14" xr3:uid="{4D50A3DA-FC8E-41D4-BD65-CF8E73E36DBA}" uniqueName="14" name="2016" queryTableFieldId="14"/>
    <tableColumn id="15" xr3:uid="{523F09CC-DFD6-43ED-832A-F196299EA82E}" uniqueName="15" name="2017" queryTableFieldId="15"/>
    <tableColumn id="16" xr3:uid="{30DB821D-A1E6-4977-A66A-255994298A3D}" uniqueName="16" name="2018" queryTableFieldId="16"/>
    <tableColumn id="17" xr3:uid="{7877518A-1A61-4979-ADCF-4FDC5B7CEF24}" uniqueName="17" name="2019" queryTableFieldId="17"/>
    <tableColumn id="18" xr3:uid="{587E4A4D-24C0-4DB9-A0FE-67313CC5E91F}" uniqueName="18" name="2020" queryTableFieldId="18"/>
    <tableColumn id="19" xr3:uid="{3D98C668-2D6E-4AA6-A5A8-C4C31B0DF90A}" uniqueName="19" name="2021" queryTableFieldId="19"/>
    <tableColumn id="20" xr3:uid="{214A4DCD-3A45-4F60-B8B0-48DE689240ED}" uniqueName="20" name="2022" queryTableFieldId="20"/>
    <tableColumn id="21" xr3:uid="{BC84582C-BDD9-4B5F-B467-0B38F29A79B2}" uniqueName="21" name="2023" queryTableFieldId="21"/>
    <tableColumn id="22" xr3:uid="{7A78FF90-8697-4F5C-B0D3-6B1BE6546413}" uniqueName="22" name="2024" queryTableField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B007C50-5902-4DDA-9E8C-95FB1D04A156}" name="Malaysia_HP" displayName="Malaysia_HP" ref="A1:V34" tableType="queryTable" totalsRowShown="0">
  <autoFilter ref="A1:V34" xr:uid="{AB007C50-5902-4DDA-9E8C-95FB1D04A156}"/>
  <tableColumns count="22">
    <tableColumn id="1" xr3:uid="{E752A375-8B39-42C8-BD85-4B50942A186A}" uniqueName="1" name="Technology" queryTableFieldId="1" dataDxfId="67"/>
    <tableColumn id="2" xr3:uid="{6D992112-C435-429F-A5CE-CADCA8A7D569}" uniqueName="2" name="Unit" queryTableFieldId="2" dataDxfId="66"/>
    <tableColumn id="3" xr3:uid="{310A0741-AB66-412C-8AAD-A852381435D3}" uniqueName="3" name="2005" queryTableFieldId="3"/>
    <tableColumn id="4" xr3:uid="{A3E3BE4C-2D0F-4B35-AA3D-609741B3F7AA}" uniqueName="4" name="2006" queryTableFieldId="4"/>
    <tableColumn id="5" xr3:uid="{3AB53FE9-00E2-4E86-A087-583194A4C743}" uniqueName="5" name="2007" queryTableFieldId="5"/>
    <tableColumn id="6" xr3:uid="{B94CBECF-48DB-42C1-A42A-816671B2F0B8}" uniqueName="6" name="2008" queryTableFieldId="6"/>
    <tableColumn id="7" xr3:uid="{F9D89A97-10D6-4888-9491-C4EEB276A474}" uniqueName="7" name="2009" queryTableFieldId="7"/>
    <tableColumn id="8" xr3:uid="{D4EDDFC5-2D1F-4CA5-B1AB-0A35698D2838}" uniqueName="8" name="2010" queryTableFieldId="8"/>
    <tableColumn id="9" xr3:uid="{21DED965-B087-4C9A-9218-BFB2FF9BE676}" uniqueName="9" name="2011" queryTableFieldId="9"/>
    <tableColumn id="10" xr3:uid="{AFC209FE-3352-4B87-A781-9B2D81B9C319}" uniqueName="10" name="2012" queryTableFieldId="10"/>
    <tableColumn id="11" xr3:uid="{CC96B99C-B4CE-4A43-9458-E8EC5C2FED46}" uniqueName="11" name="2013" queryTableFieldId="11"/>
    <tableColumn id="12" xr3:uid="{38245068-ECC6-40E2-9E29-8E9C06238600}" uniqueName="12" name="2014" queryTableFieldId="12"/>
    <tableColumn id="13" xr3:uid="{04852F78-4F47-431A-A116-5079873B2B76}" uniqueName="13" name="2015" queryTableFieldId="13"/>
    <tableColumn id="14" xr3:uid="{BD8D47E6-8338-4E54-9A2F-C1EE6D988F71}" uniqueName="14" name="2016" queryTableFieldId="14"/>
    <tableColumn id="15" xr3:uid="{ACB609D0-0750-4B5C-B622-E4E46962D91A}" uniqueName="15" name="2017" queryTableFieldId="15"/>
    <tableColumn id="16" xr3:uid="{BEE4D01C-3B2E-422E-9533-409B1DAE2E9E}" uniqueName="16" name="2018" queryTableFieldId="16"/>
    <tableColumn id="17" xr3:uid="{60598499-D1AF-4848-B054-B96C0CAA9E9B}" uniqueName="17" name="2019" queryTableFieldId="17"/>
    <tableColumn id="18" xr3:uid="{4C0670B2-4A06-454B-9272-86CB11E631AE}" uniqueName="18" name="2020" queryTableFieldId="18"/>
    <tableColumn id="19" xr3:uid="{04E1A303-2757-4050-B253-4677F29AEE85}" uniqueName="19" name="2021" queryTableFieldId="19"/>
    <tableColumn id="20" xr3:uid="{F74B3CEE-04A8-4108-BDE2-E7BC65746E91}" uniqueName="20" name="2022" queryTableFieldId="20"/>
    <tableColumn id="21" xr3:uid="{EAD5DC2A-54F9-4B12-AD4F-A289AE71C798}" uniqueName="21" name="2023" queryTableFieldId="21"/>
    <tableColumn id="22" xr3:uid="{7676CCA3-46BF-4F9D-9E73-BEFDB8C6357E}" uniqueName="22" name="2024" queryTableField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4C9B138-6E1F-4635-AA75-F8289F366CED}" name="Laos_HP" displayName="Laos_HP" ref="A1:V32" tableType="queryTable" totalsRowShown="0">
  <autoFilter ref="A1:V32" xr:uid="{24C9B138-6E1F-4635-AA75-F8289F366CED}"/>
  <tableColumns count="22">
    <tableColumn id="1" xr3:uid="{E76F63CC-D36C-4A91-A4A2-B83CB630DB2A}" uniqueName="1" name="Technology" queryTableFieldId="1" dataDxfId="65"/>
    <tableColumn id="2" xr3:uid="{D5FBEF2D-6D88-496C-AB9D-B282B538EAE7}" uniqueName="2" name="Unit" queryTableFieldId="2" dataDxfId="64"/>
    <tableColumn id="3" xr3:uid="{A501F2B2-2056-4061-B55C-477DED40AA0B}" uniqueName="3" name="2005" queryTableFieldId="3"/>
    <tableColumn id="4" xr3:uid="{5EE419EE-44AD-4D62-B449-771CD9937809}" uniqueName="4" name="2006" queryTableFieldId="4"/>
    <tableColumn id="5" xr3:uid="{E019FD41-9331-4923-9252-DF82221A352F}" uniqueName="5" name="2007" queryTableFieldId="5"/>
    <tableColumn id="6" xr3:uid="{EA8E4410-8824-4F15-9092-B1F84536C212}" uniqueName="6" name="2008" queryTableFieldId="6"/>
    <tableColumn id="7" xr3:uid="{20699DC8-6775-4B4E-95B3-1D7589E8820C}" uniqueName="7" name="2009" queryTableFieldId="7"/>
    <tableColumn id="8" xr3:uid="{9CD9189C-0600-4FF4-83BA-AB8F52D1DCDC}" uniqueName="8" name="2010" queryTableFieldId="8"/>
    <tableColumn id="9" xr3:uid="{01632497-F3A4-471F-B85E-4344D4D3FAD9}" uniqueName="9" name="2011" queryTableFieldId="9"/>
    <tableColumn id="10" xr3:uid="{EA7EF9D2-CDE9-4080-82A2-FAEE62BA0FD0}" uniqueName="10" name="2012" queryTableFieldId="10"/>
    <tableColumn id="11" xr3:uid="{970AED6E-C047-4FD5-A5BE-B3DDEFE9A448}" uniqueName="11" name="2013" queryTableFieldId="11"/>
    <tableColumn id="12" xr3:uid="{C389523D-4FED-4B3C-9AB5-968A4863FC93}" uniqueName="12" name="2014" queryTableFieldId="12"/>
    <tableColumn id="13" xr3:uid="{9A4CC019-FDED-4B7A-BFF6-32E46A5C7E32}" uniqueName="13" name="2015" queryTableFieldId="13"/>
    <tableColumn id="14" xr3:uid="{443461E5-AFCD-4F86-9470-AFE7C7FE48AA}" uniqueName="14" name="2016" queryTableFieldId="14"/>
    <tableColumn id="15" xr3:uid="{1F676EB0-9A1F-4CB9-A3B7-E6F35D45DE0C}" uniqueName="15" name="2017" queryTableFieldId="15"/>
    <tableColumn id="16" xr3:uid="{00581DEA-B4DC-4B0A-A662-8F032EC1416F}" uniqueName="16" name="2018" queryTableFieldId="16"/>
    <tableColumn id="17" xr3:uid="{A1D83CB9-175C-4E92-A003-E42F49E1D4EE}" uniqueName="17" name="2019" queryTableFieldId="17"/>
    <tableColumn id="18" xr3:uid="{7FDD168A-76D2-43CE-AF7C-5A5BB14C3B89}" uniqueName="18" name="2020" queryTableFieldId="18"/>
    <tableColumn id="19" xr3:uid="{A1F136C9-4A53-4568-B030-4F47C7AAA79E}" uniqueName="19" name="2021" queryTableFieldId="19"/>
    <tableColumn id="20" xr3:uid="{D97F84A8-1FF6-4647-B9B1-52A95FC367E9}" uniqueName="20" name="2022" queryTableFieldId="20"/>
    <tableColumn id="21" xr3:uid="{AB7396C7-C0C8-4BF8-A6ED-3805E08FDC42}" uniqueName="21" name="2023" queryTableFieldId="21"/>
    <tableColumn id="22" xr3:uid="{AB841D26-90BF-4FAA-A846-9D050B5382F3}" uniqueName="22" name="2024" queryTableFieldId="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48AB9AB-4941-449E-AFDB-19FE3EC8A980}" name="Indonesia_HP" displayName="Indonesia_HP" ref="A1:V34" tableType="queryTable" totalsRowShown="0">
  <autoFilter ref="A1:V34" xr:uid="{348AB9AB-4941-449E-AFDB-19FE3EC8A980}"/>
  <tableColumns count="22">
    <tableColumn id="1" xr3:uid="{DC519987-CE18-4EE6-8F06-100C598F7D6D}" uniqueName="1" name="Technology" queryTableFieldId="1" dataDxfId="63"/>
    <tableColumn id="2" xr3:uid="{25C9AD99-D26A-4138-8FF9-9C9C90677462}" uniqueName="2" name="Unit" queryTableFieldId="2" dataDxfId="62"/>
    <tableColumn id="3" xr3:uid="{698BF8F8-2944-4FD9-984E-181B2D6055BB}" uniqueName="3" name="2005" queryTableFieldId="3"/>
    <tableColumn id="4" xr3:uid="{2D06C783-4A32-4A5F-B29E-C9B2E016E4D2}" uniqueName="4" name="2006" queryTableFieldId="4"/>
    <tableColumn id="5" xr3:uid="{DFAD5575-1F44-491D-9C47-A8A4838B917B}" uniqueName="5" name="2007" queryTableFieldId="5"/>
    <tableColumn id="6" xr3:uid="{475B8DAE-9EB2-4E64-A94C-8E827149AC68}" uniqueName="6" name="2008" queryTableFieldId="6"/>
    <tableColumn id="7" xr3:uid="{8135A00A-D364-4FFB-8418-00E3066914CF}" uniqueName="7" name="2009" queryTableFieldId="7"/>
    <tableColumn id="8" xr3:uid="{D070F4F2-C871-4A02-AAD3-FA7C8B027D63}" uniqueName="8" name="2010" queryTableFieldId="8"/>
    <tableColumn id="9" xr3:uid="{BDFBA292-8782-4BA0-A247-547C8E32B175}" uniqueName="9" name="2011" queryTableFieldId="9"/>
    <tableColumn id="10" xr3:uid="{232FAF1A-E30D-4843-AB0C-B92D389716E7}" uniqueName="10" name="2012" queryTableFieldId="10"/>
    <tableColumn id="11" xr3:uid="{E736B96B-CD15-444A-A209-52CE7FD38E8D}" uniqueName="11" name="2013" queryTableFieldId="11"/>
    <tableColumn id="12" xr3:uid="{6D68BC8A-63CB-4B0F-AE95-19783B6F60BB}" uniqueName="12" name="2014" queryTableFieldId="12"/>
    <tableColumn id="13" xr3:uid="{11E661BD-2354-4D1E-AFDC-9AAA789327D2}" uniqueName="13" name="2015" queryTableFieldId="13"/>
    <tableColumn id="14" xr3:uid="{2978F3A8-F217-46EF-B494-BE07BC31081C}" uniqueName="14" name="2016" queryTableFieldId="14"/>
    <tableColumn id="15" xr3:uid="{BD331FEA-441C-46C1-A846-EE89610E05D1}" uniqueName="15" name="2017" queryTableFieldId="15"/>
    <tableColumn id="16" xr3:uid="{A08483C4-596B-4B90-B51F-973107351850}" uniqueName="16" name="2018" queryTableFieldId="16"/>
    <tableColumn id="17" xr3:uid="{9626DF74-9307-409F-A960-E547959B649D}" uniqueName="17" name="2019" queryTableFieldId="17"/>
    <tableColumn id="18" xr3:uid="{CA98D675-900F-4797-8675-253E08080A3C}" uniqueName="18" name="2020" queryTableFieldId="18"/>
    <tableColumn id="19" xr3:uid="{4C0604C3-E7BF-448D-B05C-764ACA0AD0B5}" uniqueName="19" name="2021" queryTableFieldId="19"/>
    <tableColumn id="20" xr3:uid="{0FFBAEA9-9088-427C-8074-0596F351BB23}" uniqueName="20" name="2022" queryTableFieldId="20"/>
    <tableColumn id="21" xr3:uid="{46AE52F9-C6CD-4809-90D5-A8245A77233C}" uniqueName="21" name="2023" queryTableFieldId="21"/>
    <tableColumn id="22" xr3:uid="{9748EA03-8BC9-4E0C-B71A-BC26FC4DFC38}" uniqueName="22" name="2024" queryTableFieldId="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9B3D6BA-9179-407D-A787-3B372FB8F5BE}" name="Cambodia_HP" displayName="Cambodia_HP" ref="A1:V34" tableType="queryTable" totalsRowShown="0">
  <autoFilter ref="A1:V34" xr:uid="{E9B3D6BA-9179-407D-A787-3B372FB8F5BE}"/>
  <tableColumns count="22">
    <tableColumn id="1" xr3:uid="{8F9F91BF-2D04-4EA9-A329-BED00E8B29FC}" uniqueName="1" name="Technology" queryTableFieldId="1" dataDxfId="61"/>
    <tableColumn id="2" xr3:uid="{60C3EAF5-0E65-48FD-B83B-DC52D79A402D}" uniqueName="2" name="Unit" queryTableFieldId="2" dataDxfId="60"/>
    <tableColumn id="3" xr3:uid="{71805EEA-469C-4BF6-9741-8D516D996E0A}" uniqueName="3" name="2005" queryTableFieldId="3"/>
    <tableColumn id="4" xr3:uid="{183851A6-4CDA-4593-9244-38E082BACF97}" uniqueName="4" name="2006" queryTableFieldId="4"/>
    <tableColumn id="5" xr3:uid="{CB55B0F7-9F7C-44C8-966C-04C1CC9F6246}" uniqueName="5" name="2007" queryTableFieldId="5"/>
    <tableColumn id="6" xr3:uid="{1B3CCE42-A359-40A3-BD46-CF5A3CFA9B10}" uniqueName="6" name="2008" queryTableFieldId="6"/>
    <tableColumn id="7" xr3:uid="{00AB8768-207F-45FC-B84C-ECFF3AAD1F84}" uniqueName="7" name="2009" queryTableFieldId="7"/>
    <tableColumn id="8" xr3:uid="{9AA7B571-CABA-40D7-97D1-60E59E6F6E88}" uniqueName="8" name="2010" queryTableFieldId="8"/>
    <tableColumn id="9" xr3:uid="{DE7FB943-7678-499A-B365-E6D5C001F995}" uniqueName="9" name="2011" queryTableFieldId="9"/>
    <tableColumn id="10" xr3:uid="{8D2D90F1-A1ED-42C8-8043-4298AD6F0227}" uniqueName="10" name="2012" queryTableFieldId="10"/>
    <tableColumn id="11" xr3:uid="{076F2C59-0FCB-45B6-8386-B5139BAF3785}" uniqueName="11" name="2013" queryTableFieldId="11"/>
    <tableColumn id="12" xr3:uid="{68B296E9-FA82-4B56-9A9D-60D7039B8CAA}" uniqueName="12" name="2014" queryTableFieldId="12"/>
    <tableColumn id="13" xr3:uid="{CDC7CD73-B3B3-471F-A8C2-A591AC5829A2}" uniqueName="13" name="2015" queryTableFieldId="13"/>
    <tableColumn id="14" xr3:uid="{31C17541-19A2-4C68-AC02-C7A2563A41DB}" uniqueName="14" name="2016" queryTableFieldId="14"/>
    <tableColumn id="15" xr3:uid="{D3E981A6-F5EA-429E-92F2-6F59FDB83F9F}" uniqueName="15" name="2017" queryTableFieldId="15"/>
    <tableColumn id="16" xr3:uid="{C2D30E95-687A-46C1-BBD7-11A0750C61C4}" uniqueName="16" name="2018" queryTableFieldId="16"/>
    <tableColumn id="17" xr3:uid="{6FF683E4-D0FE-44EA-9C9B-161B610CA822}" uniqueName="17" name="2019" queryTableFieldId="17"/>
    <tableColumn id="18" xr3:uid="{A8045B3E-EA22-4BFC-8557-128B02C1CB56}" uniqueName="18" name="2020" queryTableFieldId="18"/>
    <tableColumn id="19" xr3:uid="{88BE6F51-743E-46B7-86DE-5E2538105AE1}" uniqueName="19" name="2021" queryTableFieldId="19"/>
    <tableColumn id="20" xr3:uid="{B923B203-D77F-45B9-B445-D729B3DF7518}" uniqueName="20" name="2022" queryTableFieldId="20"/>
    <tableColumn id="21" xr3:uid="{BF70C304-0ED1-46B1-8647-A99B8CF1CA19}" uniqueName="21" name="2023" queryTableFieldId="21"/>
    <tableColumn id="22" xr3:uid="{D92E5D95-621F-4FF4-9CB4-709FD79A3649}" uniqueName="22" name="2024" queryTableFieldId="2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D98E25C-FC82-459A-B816-5723083422BA}" name="Brunei_HP" displayName="Brunei_HP" ref="A1:V34" tableType="queryTable" totalsRowShown="0">
  <autoFilter ref="A1:V34" xr:uid="{5D98E25C-FC82-459A-B816-5723083422BA}"/>
  <tableColumns count="22">
    <tableColumn id="1" xr3:uid="{8DB212E4-EAA8-4F1F-AFB3-5611BBE2F8B1}" uniqueName="1" name="Technology" queryTableFieldId="1" dataDxfId="59"/>
    <tableColumn id="2" xr3:uid="{EA889CFD-2545-4035-BDE8-4CD9288AA4F3}" uniqueName="2" name="Unit" queryTableFieldId="2" dataDxfId="58"/>
    <tableColumn id="3" xr3:uid="{E42B5714-E630-4127-9B4D-28C7AECF3C26}" uniqueName="3" name="2005" queryTableFieldId="3"/>
    <tableColumn id="4" xr3:uid="{4C796ACE-A864-4AF8-A40F-312D4CDDC09D}" uniqueName="4" name="2006" queryTableFieldId="4"/>
    <tableColumn id="5" xr3:uid="{3310F339-CDF0-4C43-A52F-2DB6A32417EE}" uniqueName="5" name="2007" queryTableFieldId="5"/>
    <tableColumn id="6" xr3:uid="{11212B6F-F908-4D2B-8675-CCFD372887F5}" uniqueName="6" name="2008" queryTableFieldId="6"/>
    <tableColumn id="7" xr3:uid="{E353D7E3-0D07-44F0-90D1-9965E34F6655}" uniqueName="7" name="2009" queryTableFieldId="7"/>
    <tableColumn id="8" xr3:uid="{8884D490-9DF1-4199-8AAE-1681DB4B5D26}" uniqueName="8" name="2010" queryTableFieldId="8"/>
    <tableColumn id="9" xr3:uid="{22AC2071-F92D-44B7-9191-1F5FDD26BD30}" uniqueName="9" name="2011" queryTableFieldId="9"/>
    <tableColumn id="10" xr3:uid="{E34D5F99-7993-4FA1-BC2E-55B6BA4F74BC}" uniqueName="10" name="2012" queryTableFieldId="10"/>
    <tableColumn id="11" xr3:uid="{58745314-AA17-446C-8E3E-E779AA2A03CD}" uniqueName="11" name="2013" queryTableFieldId="11"/>
    <tableColumn id="12" xr3:uid="{9D37D4B2-DB77-4103-8326-86DD6D8A78D5}" uniqueName="12" name="2014" queryTableFieldId="12"/>
    <tableColumn id="13" xr3:uid="{95592A9F-5063-475A-85BE-95968FF1EDD4}" uniqueName="13" name="2015" queryTableFieldId="13"/>
    <tableColumn id="14" xr3:uid="{8FAAED07-96F0-4B33-A3DD-3050A900EF30}" uniqueName="14" name="2016" queryTableFieldId="14"/>
    <tableColumn id="15" xr3:uid="{FC100F04-3093-4C55-961E-521B275AD291}" uniqueName="15" name="2017" queryTableFieldId="15"/>
    <tableColumn id="16" xr3:uid="{60695D00-2B09-4A52-82CE-C7F873BF2637}" uniqueName="16" name="2018" queryTableFieldId="16"/>
    <tableColumn id="17" xr3:uid="{7C3DC643-94A1-4737-A7A4-1FF74C90D05D}" uniqueName="17" name="2019" queryTableFieldId="17"/>
    <tableColumn id="18" xr3:uid="{F0BD313B-1B77-49EA-89AD-B55A050704C7}" uniqueName="18" name="2020" queryTableFieldId="18"/>
    <tableColumn id="19" xr3:uid="{DCFA44AC-54F6-4A3A-A549-8B37E38DA15B}" uniqueName="19" name="2021" queryTableFieldId="19"/>
    <tableColumn id="20" xr3:uid="{C8F6AC1E-6E1F-41F8-A3AD-AE6BECE166B8}" uniqueName="20" name="2022" queryTableFieldId="20"/>
    <tableColumn id="21" xr3:uid="{8F00602E-5B06-4AA4-9EAD-8C71CC57E022}" uniqueName="21" name="2023" queryTableFieldId="21"/>
    <tableColumn id="22" xr3:uid="{67DDB0F2-B2F3-47AA-A460-B367495CF875}" uniqueName="22" name="2024" queryTableFieldId="2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BFE934-E6D4-4B0B-B900-A0D35DC93233}" name="leap" displayName="leap" ref="A3:AF803" totalsRowShown="0" headerRowDxfId="57" dataDxfId="56">
  <autoFilter ref="A3:AF803" xr:uid="{45BFE934-E6D4-4B0B-B900-A0D35DC93233}">
    <filterColumn colId="5">
      <filters>
        <filter val="Existing Capacity"/>
      </filters>
    </filterColumn>
    <filterColumn colId="7">
      <filters>
        <filter val="Indonesia"/>
      </filters>
    </filterColumn>
  </autoFilter>
  <tableColumns count="32">
    <tableColumn id="1" xr3:uid="{E5858A74-2F0B-4794-A1B5-7317B10A7E8E}" name="BranchID"/>
    <tableColumn id="2" xr3:uid="{7CB86194-E6C0-4B15-9833-570A825C07E4}" name="VariableID"/>
    <tableColumn id="3" xr3:uid="{53DBAB45-960E-49A2-9A8A-53388ADFAB9A}" name="ScenarioID"/>
    <tableColumn id="4" xr3:uid="{37B9168D-E1BF-4C5C-AE02-8F6EB7D6B552}" name="RegionID"/>
    <tableColumn id="5" xr3:uid="{22EBF1D8-0D1F-4B78-9F95-ACD214722ADC}" name="Branch Path" dataDxfId="55"/>
    <tableColumn id="6" xr3:uid="{0440199D-7D42-4053-827B-53A1A265BE7E}" name="Variable" dataDxfId="54"/>
    <tableColumn id="7" xr3:uid="{1D86B5F4-9E3F-4C12-A359-AD377E1D60D2}" name="Scenario" dataDxfId="53"/>
    <tableColumn id="8" xr3:uid="{832867C7-935E-468E-9213-C457D7F1EDCE}" name="Region" dataDxfId="52"/>
    <tableColumn id="9" xr3:uid="{5552A334-4A93-4337-9DB6-757C3CB27A73}" name="Scale" dataDxfId="51"/>
    <tableColumn id="10" xr3:uid="{91295869-6615-4E02-9680-D946DD766146}" name="Units" dataDxfId="50"/>
    <tableColumn id="11" xr3:uid="{C38E36D3-CBE1-40D4-98E3-74B9D948E7D1}" name="Per..." dataDxfId="49"/>
    <tableColumn id="12" xr3:uid="{62CC3BCF-6236-4118-B470-F0689F0F9E5A}" name="Method" dataDxfId="48"/>
    <tableColumn id="13" xr3:uid="{D9C86275-7C4F-4CCC-94BB-14DF67B45F93}" name="2005" dataDxfId="47"/>
    <tableColumn id="14" xr3:uid="{3E142D88-BB83-4257-B1D7-D07AFA621DE3}" name="2006" dataDxfId="46"/>
    <tableColumn id="15" xr3:uid="{01957954-0107-4793-8357-B09FE478687F}" name="2007" dataDxfId="45"/>
    <tableColumn id="16" xr3:uid="{73373B28-4F3A-4FA2-9109-EC3E223ADF15}" name="2008" dataDxfId="44"/>
    <tableColumn id="17" xr3:uid="{009F0860-6D2B-4D8A-9EB5-0C63268085C9}" name="2009" dataDxfId="43"/>
    <tableColumn id="18" xr3:uid="{F6CDD533-BFD0-4F4B-A581-AAA15CF8B4A6}" name="2010" dataDxfId="42"/>
    <tableColumn id="19" xr3:uid="{18A0329A-8429-4D6A-99EB-1101A4B26146}" name="2011" dataDxfId="41"/>
    <tableColumn id="20" xr3:uid="{C6F37B7A-4541-4331-85B1-37F10BA8FFD3}" name="2012" dataDxfId="40"/>
    <tableColumn id="21" xr3:uid="{09AF78D6-E509-42D2-885A-2257F5E59655}" name="2013" dataDxfId="39"/>
    <tableColumn id="22" xr3:uid="{AA65D93A-D18E-4F39-85E9-6D963DDEDFFE}" name="2014" dataDxfId="38"/>
    <tableColumn id="23" xr3:uid="{B26F438C-7542-4DB0-985A-2A226EE46291}" name="2015" dataDxfId="37"/>
    <tableColumn id="24" xr3:uid="{250059D8-F6FA-47FF-AA15-BBA4E990D029}" name="2016" dataDxfId="36"/>
    <tableColumn id="25" xr3:uid="{D7C7BBDD-9CEC-41A7-8D63-BD0A1C7658F9}" name="2017" dataDxfId="35"/>
    <tableColumn id="26" xr3:uid="{7FAE3243-6FEA-4752-8A8A-34617BD3A723}" name="2018" dataDxfId="34"/>
    <tableColumn id="27" xr3:uid="{D17FCA04-E206-409E-A6A5-51201EA00CBF}" name="2019" dataDxfId="33"/>
    <tableColumn id="28" xr3:uid="{8198F11E-789B-45C7-ACA5-7166B349744E}" name="2020" dataDxfId="32"/>
    <tableColumn id="29" xr3:uid="{CA8C7DB0-B4CF-4BCB-8BDA-0291EC9A9A58}" name="2021" dataDxfId="31"/>
    <tableColumn id="30" xr3:uid="{D317BC5D-EA4D-4872-BD82-AC1CE4A3427A}" name="2022" dataDxfId="30"/>
    <tableColumn id="31" xr3:uid="{E766824B-5BFA-43EC-B1CB-0E00825DC349}" name="2023" dataDxfId="29"/>
    <tableColumn id="32" xr3:uid="{0CB6F6BA-984E-49F8-AE81-1439EC760A7A}" name="2024" dataDxfId="28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F0725E-D307-4A2A-9F81-2DE3F5AD09AB}" name="Brunei" displayName="Brunei" ref="A1:V34" tableType="queryTable" totalsRowShown="0">
  <autoFilter ref="A1:V34" xr:uid="{E2F0725E-D307-4A2A-9F81-2DE3F5AD09AB}"/>
  <tableColumns count="22">
    <tableColumn id="1" xr3:uid="{008E0A8B-E343-4A3F-862B-953A6F827C8E}" uniqueName="1" name="Technology" queryTableFieldId="1" dataDxfId="27"/>
    <tableColumn id="2" xr3:uid="{01741FEB-ADB6-43EE-9086-B0349D8AB998}" uniqueName="2" name="Unit" queryTableFieldId="2" dataDxfId="26"/>
    <tableColumn id="3" xr3:uid="{6C8CB45A-2AFC-4F16-9C5F-AB37BCFF4704}" uniqueName="3" name="2005" queryTableFieldId="3"/>
    <tableColumn id="4" xr3:uid="{2235E5E3-C06B-4985-85BC-0BA0CEF4F12E}" uniqueName="4" name="2006" queryTableFieldId="4"/>
    <tableColumn id="5" xr3:uid="{A2B09A60-9737-410B-811F-B55670751657}" uniqueName="5" name="2007" queryTableFieldId="5"/>
    <tableColumn id="6" xr3:uid="{773FA882-694C-4389-9198-6469D912DD13}" uniqueName="6" name="2008" queryTableFieldId="6"/>
    <tableColumn id="7" xr3:uid="{1D10D376-77C5-4291-85E9-A3FC15E447ED}" uniqueName="7" name="2009" queryTableFieldId="7"/>
    <tableColumn id="8" xr3:uid="{E3FB112E-A03A-432A-B35B-8444CB6DE722}" uniqueName="8" name="2010" queryTableFieldId="8"/>
    <tableColumn id="9" xr3:uid="{9497600D-CC3C-43FA-AAA2-CEBE6C4352B5}" uniqueName="9" name="2011" queryTableFieldId="9"/>
    <tableColumn id="10" xr3:uid="{62BF21B4-4BC9-421F-A03C-C0628E2C11DB}" uniqueName="10" name="2012" queryTableFieldId="10"/>
    <tableColumn id="11" xr3:uid="{B73877ED-C105-4B8C-99F3-36CE0479AC69}" uniqueName="11" name="2013" queryTableFieldId="11"/>
    <tableColumn id="12" xr3:uid="{5D78CA8C-93A2-4ECB-90EF-89EBD3F7B1C1}" uniqueName="12" name="2014" queryTableFieldId="12"/>
    <tableColumn id="13" xr3:uid="{279DA39F-4A35-4EE5-A630-829FD46D2F13}" uniqueName="13" name="2015" queryTableFieldId="13"/>
    <tableColumn id="14" xr3:uid="{A8EFB64A-B57E-41D0-95FA-A5261D812825}" uniqueName="14" name="2016" queryTableFieldId="14"/>
    <tableColumn id="15" xr3:uid="{1FEA880F-C447-4B2F-A5B9-35574739A41B}" uniqueName="15" name="2017" queryTableFieldId="15"/>
    <tableColumn id="16" xr3:uid="{FF7AF923-BF2E-484E-B2F6-8982CFC3CAA7}" uniqueName="16" name="2018" queryTableFieldId="16"/>
    <tableColumn id="17" xr3:uid="{48575338-E971-401F-AA9F-F00AC36EB435}" uniqueName="17" name="2019" queryTableFieldId="17"/>
    <tableColumn id="18" xr3:uid="{59B227AB-D305-4CF7-B960-3B40448FE310}" uniqueName="18" name="2020" queryTableFieldId="18"/>
    <tableColumn id="19" xr3:uid="{C74A1400-B2C1-49CB-82DD-4BE13091116A}" uniqueName="19" name="2021" queryTableFieldId="19"/>
    <tableColumn id="20" xr3:uid="{1A14FCF5-393E-4F23-8868-8C1233BA7305}" uniqueName="20" name="2022" queryTableFieldId="20"/>
    <tableColumn id="21" xr3:uid="{C0C43E8C-DEB8-4556-B8CF-E30D4B2B857A}" uniqueName="21" name="2023" queryTableFieldId="21"/>
    <tableColumn id="22" xr3:uid="{AAB9C44A-8426-4B5E-B497-8EA2C8EE2B2E}" uniqueName="22" name="2024" queryTableFieldId="2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96F067-1C05-4CCD-990B-9A5B2E99FD86}" name="Cambodia" displayName="Cambodia" ref="A1:V34" tableType="queryTable" totalsRowShown="0">
  <autoFilter ref="A1:V34" xr:uid="{0596F067-1C05-4CCD-990B-9A5B2E99FD86}"/>
  <tableColumns count="22">
    <tableColumn id="1" xr3:uid="{E4B78918-4B1E-4F2F-97DF-918F3DFF091E}" uniqueName="1" name="Technology" queryTableFieldId="1" dataDxfId="25"/>
    <tableColumn id="2" xr3:uid="{5BFC368E-320F-4EF7-B50E-B60196C364B1}" uniqueName="2" name="Unit" queryTableFieldId="2" dataDxfId="24"/>
    <tableColumn id="3" xr3:uid="{DA8D7220-844B-467E-AB23-18950E3406CA}" uniqueName="3" name="2005" queryTableFieldId="3"/>
    <tableColumn id="4" xr3:uid="{FD7AE296-95BF-473F-86B9-6B07C60862D1}" uniqueName="4" name="2006" queryTableFieldId="4"/>
    <tableColumn id="5" xr3:uid="{26C43CA4-59BB-41B5-9ED7-F49B5102C09B}" uniqueName="5" name="2007" queryTableFieldId="5"/>
    <tableColumn id="6" xr3:uid="{9209E190-E055-47A5-B91E-74875827BC5D}" uniqueName="6" name="2008" queryTableFieldId="6"/>
    <tableColumn id="7" xr3:uid="{82E1DF34-988B-436B-8B9D-D9214D894187}" uniqueName="7" name="2009" queryTableFieldId="7"/>
    <tableColumn id="8" xr3:uid="{C24AE8C8-8A96-4C66-94B2-A678E9968D45}" uniqueName="8" name="2010" queryTableFieldId="8"/>
    <tableColumn id="9" xr3:uid="{B93AF626-7378-4CB2-9A1C-212E303FFD0C}" uniqueName="9" name="2011" queryTableFieldId="9"/>
    <tableColumn id="10" xr3:uid="{8EE8A09D-C138-4641-BBC9-562E16E5FFF3}" uniqueName="10" name="2012" queryTableFieldId="10"/>
    <tableColumn id="11" xr3:uid="{921CDB55-AB12-411C-9BEB-14FBF1440F27}" uniqueName="11" name="2013" queryTableFieldId="11"/>
    <tableColumn id="12" xr3:uid="{F3629D34-26A0-46A9-AF57-4B6ADF4F66CA}" uniqueName="12" name="2014" queryTableFieldId="12"/>
    <tableColumn id="13" xr3:uid="{4827911A-541D-4CB7-AE32-F316F453602E}" uniqueName="13" name="2015" queryTableFieldId="13"/>
    <tableColumn id="14" xr3:uid="{BC91BD8A-07A8-4EEA-ABEB-225AED1A1ACB}" uniqueName="14" name="2016" queryTableFieldId="14"/>
    <tableColumn id="15" xr3:uid="{A2D5533C-926A-4D6F-9E75-FBEE72FF49F9}" uniqueName="15" name="2017" queryTableFieldId="15"/>
    <tableColumn id="16" xr3:uid="{9B693701-0881-4DAA-BD56-655747D08DD7}" uniqueName="16" name="2018" queryTableFieldId="16"/>
    <tableColumn id="17" xr3:uid="{2474B927-864A-44BB-9865-B89491038311}" uniqueName="17" name="2019" queryTableFieldId="17"/>
    <tableColumn id="18" xr3:uid="{D021F569-5781-4644-8898-C25700AC6889}" uniqueName="18" name="2020" queryTableFieldId="18"/>
    <tableColumn id="19" xr3:uid="{F4319893-9A5E-46F3-8ED1-96DF852D34DE}" uniqueName="19" name="2021" queryTableFieldId="19"/>
    <tableColumn id="20" xr3:uid="{187021BF-53FA-4F70-9565-465408B12E4C}" uniqueName="20" name="2022" queryTableFieldId="20"/>
    <tableColumn id="21" xr3:uid="{17C5E303-9321-444D-B6F3-018A0DE4B7A2}" uniqueName="21" name="2023" queryTableFieldId="21"/>
    <tableColumn id="22" xr3:uid="{EAC34C37-1F9B-44F5-A8A5-188A312EA45A}" uniqueName="22" name="2024" queryTableFieldId="2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38B02B-E377-475D-A2BC-917BEBA2D5F0}" name="Indonesia" displayName="Indonesia" ref="A1:V34" tableType="queryTable" totalsRowShown="0">
  <autoFilter ref="A1:V34" xr:uid="{AA38B02B-E377-475D-A2BC-917BEBA2D5F0}"/>
  <tableColumns count="22">
    <tableColumn id="1" xr3:uid="{9EAD1544-3D31-4BB8-9DD7-61BDE476A649}" uniqueName="1" name="Technology" queryTableFieldId="1" dataDxfId="23"/>
    <tableColumn id="2" xr3:uid="{CE850FE5-D217-4DE4-87A4-4495F66A07B3}" uniqueName="2" name="Unit" queryTableFieldId="2" dataDxfId="22"/>
    <tableColumn id="3" xr3:uid="{F82345EB-3925-4B6D-93D2-B4FB9F5877B3}" uniqueName="3" name="2005" queryTableFieldId="3"/>
    <tableColumn id="4" xr3:uid="{F378BFDD-EA17-4632-BCA8-F82A2688B157}" uniqueName="4" name="2006" queryTableFieldId="4"/>
    <tableColumn id="5" xr3:uid="{A06368E2-9DA5-46D1-BAE0-B3A9E8307138}" uniqueName="5" name="2007" queryTableFieldId="5"/>
    <tableColumn id="6" xr3:uid="{4D835D69-B993-4FE4-9132-C6F1721C6198}" uniqueName="6" name="2008" queryTableFieldId="6"/>
    <tableColumn id="7" xr3:uid="{411E814C-CCAD-4FD3-8BC2-5576AEC195C8}" uniqueName="7" name="2009" queryTableFieldId="7"/>
    <tableColumn id="8" xr3:uid="{7DC518FE-8C03-4623-90D3-26235A660B78}" uniqueName="8" name="2010" queryTableFieldId="8"/>
    <tableColumn id="9" xr3:uid="{E04DAD40-7420-45C7-86F0-4E8ABA72355F}" uniqueName="9" name="2011" queryTableFieldId="9"/>
    <tableColumn id="10" xr3:uid="{81F1D009-4CDC-4746-8304-D48610731F46}" uniqueName="10" name="2012" queryTableFieldId="10"/>
    <tableColumn id="11" xr3:uid="{E914CE94-BEF2-4118-8CFF-7C6F8143368D}" uniqueName="11" name="2013" queryTableFieldId="11"/>
    <tableColumn id="12" xr3:uid="{06CB216A-1218-440E-9763-D512AE49FB47}" uniqueName="12" name="2014" queryTableFieldId="12"/>
    <tableColumn id="13" xr3:uid="{43495CE9-B458-4D8E-A929-A175162582BF}" uniqueName="13" name="2015" queryTableFieldId="13"/>
    <tableColumn id="14" xr3:uid="{E5D5BFCE-1EDE-4BC2-930A-F18730CA9502}" uniqueName="14" name="2016" queryTableFieldId="14"/>
    <tableColumn id="15" xr3:uid="{301C9B3B-A9BD-4925-B3C1-C6C10B471209}" uniqueName="15" name="2017" queryTableFieldId="15"/>
    <tableColumn id="16" xr3:uid="{5B83893C-F4B4-4ECD-B70D-5B56BE0B6A59}" uniqueName="16" name="2018" queryTableFieldId="16"/>
    <tableColumn id="17" xr3:uid="{84958D43-45A0-4B8E-BC8F-CD3593E63C65}" uniqueName="17" name="2019" queryTableFieldId="17"/>
    <tableColumn id="18" xr3:uid="{8E5E89EE-431F-4F7A-B896-F360834050F5}" uniqueName="18" name="2020" queryTableFieldId="18"/>
    <tableColumn id="19" xr3:uid="{1185F042-1BE7-40E2-894E-BC9F210D0FEE}" uniqueName="19" name="2021" queryTableFieldId="19"/>
    <tableColumn id="20" xr3:uid="{8BD24BE2-C3B9-432E-B8C9-87D73E62604A}" uniqueName="20" name="2022" queryTableFieldId="20"/>
    <tableColumn id="21" xr3:uid="{AE9729D4-031F-4A76-A0FB-7FE519F5F4E7}" uniqueName="21" name="2023" queryTableFieldId="21"/>
    <tableColumn id="22" xr3:uid="{DF5F7FD8-539C-4D26-9963-B9587E488F24}" uniqueName="22" name="2024" queryTableFieldId="2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01AA12-1C2C-4B32-8C42-11FC2E77558B}" name="Laos" displayName="Laos" ref="A1:V32" tableType="queryTable" totalsRowShown="0">
  <autoFilter ref="A1:V32" xr:uid="{6301AA12-1C2C-4B32-8C42-11FC2E77558B}"/>
  <tableColumns count="22">
    <tableColumn id="1" xr3:uid="{C87676A6-0F3E-4B63-B089-45B3F58CF2D1}" uniqueName="1" name="Technology" queryTableFieldId="1" dataDxfId="21"/>
    <tableColumn id="2" xr3:uid="{7299B694-1C35-457E-9F0F-A7B3F767A081}" uniqueName="2" name="Unit" queryTableFieldId="2" dataDxfId="20"/>
    <tableColumn id="3" xr3:uid="{B06B512F-BE2A-4642-8F08-309D6B73CC10}" uniqueName="3" name="2005" queryTableFieldId="3"/>
    <tableColumn id="4" xr3:uid="{4CA350BF-2377-4A64-A3A1-D9FAB6A891E7}" uniqueName="4" name="2006" queryTableFieldId="4"/>
    <tableColumn id="5" xr3:uid="{16041E89-24F3-4A18-8D7D-73FE97D0251E}" uniqueName="5" name="2007" queryTableFieldId="5"/>
    <tableColumn id="6" xr3:uid="{113B47C5-3A3B-463B-A428-2EA8E5656889}" uniqueName="6" name="2008" queryTableFieldId="6"/>
    <tableColumn id="7" xr3:uid="{AD75E657-B6E7-4189-ACF1-C37C55E254B4}" uniqueName="7" name="2009" queryTableFieldId="7"/>
    <tableColumn id="8" xr3:uid="{31284D8B-0F8E-4A9F-8DC7-8DE320DCFAF3}" uniqueName="8" name="2010" queryTableFieldId="8"/>
    <tableColumn id="9" xr3:uid="{082D271B-26E4-4503-98B1-48364A5E87BC}" uniqueName="9" name="2011" queryTableFieldId="9"/>
    <tableColumn id="10" xr3:uid="{0CD5716A-5008-4900-BB79-0E1678DD3186}" uniqueName="10" name="2012" queryTableFieldId="10"/>
    <tableColumn id="11" xr3:uid="{4F6763E2-DED8-4D85-A40E-7BBA61F6B57A}" uniqueName="11" name="2013" queryTableFieldId="11"/>
    <tableColumn id="12" xr3:uid="{35BED943-3F6D-49C2-BCF0-830228FD8BCD}" uniqueName="12" name="2014" queryTableFieldId="12"/>
    <tableColumn id="13" xr3:uid="{DC449735-A7C5-4569-8304-FF9D0B6A221E}" uniqueName="13" name="2015" queryTableFieldId="13"/>
    <tableColumn id="14" xr3:uid="{06B2C4B0-ADBA-4A6E-AC7B-8FEEF213FF9E}" uniqueName="14" name="2016" queryTableFieldId="14"/>
    <tableColumn id="15" xr3:uid="{31140805-6169-425A-9D7A-3148B8ADB484}" uniqueName="15" name="2017" queryTableFieldId="15"/>
    <tableColumn id="16" xr3:uid="{55A5372B-12DD-46D9-8B0E-B117F6D29E0B}" uniqueName="16" name="2018" queryTableFieldId="16"/>
    <tableColumn id="17" xr3:uid="{59D616E8-B313-4EA6-830E-B71EE12E8B3E}" uniqueName="17" name="2019" queryTableFieldId="17"/>
    <tableColumn id="18" xr3:uid="{7FA7D410-0E86-4DCE-B42B-37B3FFAC66BA}" uniqueName="18" name="2020" queryTableFieldId="18"/>
    <tableColumn id="19" xr3:uid="{F9C81B4C-4107-4B53-BCD6-BF9F8C99FEB9}" uniqueName="19" name="2021" queryTableFieldId="19"/>
    <tableColumn id="20" xr3:uid="{3998DA6F-1AD3-4D9C-A996-6847082C9224}" uniqueName="20" name="2022" queryTableFieldId="20"/>
    <tableColumn id="21" xr3:uid="{AD66CBF3-8757-4733-B5BC-03A3E209357A}" uniqueName="21" name="2023" queryTableFieldId="21"/>
    <tableColumn id="22" xr3:uid="{C7291BFC-E0A0-4BBF-A6FB-B5E7840127D1}" uniqueName="22" name="2024" queryTableFieldId="2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D38BD8-9A11-4382-ADD9-B6A4EE63F967}" name="Malaysia" displayName="Malaysia" ref="A1:V34" tableType="queryTable" totalsRowShown="0">
  <autoFilter ref="A1:V34" xr:uid="{84D38BD8-9A11-4382-ADD9-B6A4EE63F967}"/>
  <tableColumns count="22">
    <tableColumn id="1" xr3:uid="{2DE9EAF7-E9BA-4FC7-85A1-D11BB65B4D6E}" uniqueName="1" name="Technology" queryTableFieldId="1" dataDxfId="19"/>
    <tableColumn id="2" xr3:uid="{76B79355-84A6-4400-959A-7997CE1595FB}" uniqueName="2" name="Unit" queryTableFieldId="2" dataDxfId="18"/>
    <tableColumn id="3" xr3:uid="{F25D855D-591A-4ADB-A419-41AC568F2278}" uniqueName="3" name="2005" queryTableFieldId="3"/>
    <tableColumn id="4" xr3:uid="{2239CE9C-8D0D-4688-9BA8-5D12564B910E}" uniqueName="4" name="2006" queryTableFieldId="4"/>
    <tableColumn id="5" xr3:uid="{3E314EDA-FAC0-4CCB-BFAC-BDD46A50CBB2}" uniqueName="5" name="2007" queryTableFieldId="5"/>
    <tableColumn id="6" xr3:uid="{471827AE-21A4-402E-900D-F9B6654B8BDD}" uniqueName="6" name="2008" queryTableFieldId="6"/>
    <tableColumn id="7" xr3:uid="{E98D578A-835F-4490-8A27-5F1F59C07EC4}" uniqueName="7" name="2009" queryTableFieldId="7"/>
    <tableColumn id="8" xr3:uid="{C82EF209-1D16-46F7-A98D-04EC03915AD2}" uniqueName="8" name="2010" queryTableFieldId="8"/>
    <tableColumn id="9" xr3:uid="{BEF146BA-B53F-4124-B629-032FF365DB34}" uniqueName="9" name="2011" queryTableFieldId="9"/>
    <tableColumn id="10" xr3:uid="{8FC15BE3-F48C-4EF0-A785-FA36B089B9CD}" uniqueName="10" name="2012" queryTableFieldId="10"/>
    <tableColumn id="11" xr3:uid="{D6259B72-668F-46C9-92B1-5378091F0C01}" uniqueName="11" name="2013" queryTableFieldId="11"/>
    <tableColumn id="12" xr3:uid="{7ECED7EE-8E37-4C52-8FF5-429BF6DA1027}" uniqueName="12" name="2014" queryTableFieldId="12"/>
    <tableColumn id="13" xr3:uid="{43533C23-FBA4-4B41-81C4-41A27D1064E7}" uniqueName="13" name="2015" queryTableFieldId="13"/>
    <tableColumn id="14" xr3:uid="{7AD42BBF-6DAA-4652-8610-196B9848F49D}" uniqueName="14" name="2016" queryTableFieldId="14"/>
    <tableColumn id="15" xr3:uid="{FE68F5DC-1ED5-4D03-A499-28B9B47B3CD8}" uniqueName="15" name="2017" queryTableFieldId="15"/>
    <tableColumn id="16" xr3:uid="{8246F78B-DD9C-4847-8466-9B5AE5946832}" uniqueName="16" name="2018" queryTableFieldId="16"/>
    <tableColumn id="17" xr3:uid="{C9CD8742-6F1B-459E-BE87-B185DA8A6858}" uniqueName="17" name="2019" queryTableFieldId="17"/>
    <tableColumn id="18" xr3:uid="{68F5D2EB-F482-4C08-8B31-74CEB33D210A}" uniqueName="18" name="2020" queryTableFieldId="18"/>
    <tableColumn id="19" xr3:uid="{B6F8E3CD-8316-47E0-A27B-E1B9B1817BFF}" uniqueName="19" name="2021" queryTableFieldId="19"/>
    <tableColumn id="20" xr3:uid="{376D262B-1FB4-4313-B363-F30B56D3E258}" uniqueName="20" name="2022" queryTableFieldId="20"/>
    <tableColumn id="21" xr3:uid="{DD648335-7CAB-4DCA-906E-001725D38F92}" uniqueName="21" name="2023" queryTableFieldId="21"/>
    <tableColumn id="22" xr3:uid="{2DAABDDA-324A-46A6-BFB2-0C41752049B2}" uniqueName="22" name="2024" queryTableFieldId="2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3C23DB-A1AD-4D36-8277-5E39BB6759CB}" name="Myanmar" displayName="Myanmar" ref="A1:V33" tableType="queryTable" totalsRowShown="0">
  <autoFilter ref="A1:V33" xr:uid="{6E3C23DB-A1AD-4D36-8277-5E39BB6759CB}"/>
  <tableColumns count="22">
    <tableColumn id="1" xr3:uid="{40EAD61D-D4D7-47DE-ABC8-7D8B4D2DBD00}" uniqueName="1" name="Technology" queryTableFieldId="1" dataDxfId="17"/>
    <tableColumn id="2" xr3:uid="{ACDF192E-B1F0-418D-BF98-86A7F6355389}" uniqueName="2" name="Unit" queryTableFieldId="2" dataDxfId="16"/>
    <tableColumn id="3" xr3:uid="{BE9FBFE0-8D22-4695-87EC-B70633770DB8}" uniqueName="3" name="2005" queryTableFieldId="3"/>
    <tableColumn id="4" xr3:uid="{93373026-5311-4E3C-97DB-7A62CCDCF82C}" uniqueName="4" name="2006" queryTableFieldId="4"/>
    <tableColumn id="5" xr3:uid="{017CF55E-A511-4F33-970F-BD98CAB4698E}" uniqueName="5" name="2007" queryTableFieldId="5"/>
    <tableColumn id="6" xr3:uid="{642CE379-09C3-434E-82E1-63C100E8EE94}" uniqueName="6" name="2008" queryTableFieldId="6"/>
    <tableColumn id="7" xr3:uid="{89A034A1-CBB5-432A-92A6-A12C61E8E1AE}" uniqueName="7" name="2009" queryTableFieldId="7"/>
    <tableColumn id="8" xr3:uid="{2742A4E7-81FC-4F2D-8A8A-6F492C355729}" uniqueName="8" name="2010" queryTableFieldId="8"/>
    <tableColumn id="9" xr3:uid="{83D039DB-0EB5-4EAE-B1EE-4E0E846FBF60}" uniqueName="9" name="2011" queryTableFieldId="9"/>
    <tableColumn id="10" xr3:uid="{382050C3-7343-444C-BDBD-1C18141D83DF}" uniqueName="10" name="2012" queryTableFieldId="10"/>
    <tableColumn id="11" xr3:uid="{C3ABBD18-7903-4ED1-8B91-CF2EF81F7C8D}" uniqueName="11" name="2013" queryTableFieldId="11"/>
    <tableColumn id="12" xr3:uid="{B8AD7AD9-9D32-4A74-A539-6FAAFA696643}" uniqueName="12" name="2014" queryTableFieldId="12"/>
    <tableColumn id="13" xr3:uid="{D8C1DF80-B84D-44A9-9EA4-E62BA90E86DF}" uniqueName="13" name="2015" queryTableFieldId="13"/>
    <tableColumn id="14" xr3:uid="{DDD8C4FF-5436-476E-A986-D716CD8C52FC}" uniqueName="14" name="2016" queryTableFieldId="14"/>
    <tableColumn id="15" xr3:uid="{194D9BC8-FC8C-45CF-934E-1E8779F02B4A}" uniqueName="15" name="2017" queryTableFieldId="15"/>
    <tableColumn id="16" xr3:uid="{4944EB37-2037-42D4-A503-F65253996DE8}" uniqueName="16" name="2018" queryTableFieldId="16"/>
    <tableColumn id="17" xr3:uid="{1A79B345-001A-4583-8FD4-024B77C98165}" uniqueName="17" name="2019" queryTableFieldId="17"/>
    <tableColumn id="18" xr3:uid="{5F6EF85C-45D3-4D4C-A24E-BB5ACE43A2EB}" uniqueName="18" name="2020" queryTableFieldId="18"/>
    <tableColumn id="19" xr3:uid="{3B275D44-D821-4070-AFEB-8F15A7D53985}" uniqueName="19" name="2021" queryTableFieldId="19"/>
    <tableColumn id="20" xr3:uid="{12CD2BE7-3518-40C2-8B32-79CADAF1147D}" uniqueName="20" name="2022" queryTableFieldId="20"/>
    <tableColumn id="21" xr3:uid="{DBDFD1FF-F097-44DB-A11A-A54943C5A548}" uniqueName="21" name="2023" queryTableFieldId="21"/>
    <tableColumn id="22" xr3:uid="{96114E4B-5DD7-4B14-A280-CE6C72BF0485}" uniqueName="22" name="2024" queryTableFieldId="2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33701A-2289-499A-9394-E6BE943E0147}" name="Philippines" displayName="Philippines" ref="A1:V32" tableType="queryTable" totalsRowShown="0">
  <autoFilter ref="A1:V32" xr:uid="{7933701A-2289-499A-9394-E6BE943E0147}"/>
  <tableColumns count="22">
    <tableColumn id="1" xr3:uid="{16D87F1F-5DA1-4E47-AFAC-7EB2AA6FB5B2}" uniqueName="1" name="Technology" queryTableFieldId="1" dataDxfId="15"/>
    <tableColumn id="2" xr3:uid="{4F441F7C-FC2D-4092-9018-5E19270187E0}" uniqueName="2" name="Unit" queryTableFieldId="2" dataDxfId="14"/>
    <tableColumn id="3" xr3:uid="{590AB1C6-CA99-4FF2-8A08-8BD986436067}" uniqueName="3" name="2005" queryTableFieldId="3"/>
    <tableColumn id="4" xr3:uid="{4C386C98-41D1-4732-9055-A1CFE528E500}" uniqueName="4" name="2006" queryTableFieldId="4"/>
    <tableColumn id="5" xr3:uid="{70E4DE42-2406-4976-93BD-0247B762BA47}" uniqueName="5" name="2007" queryTableFieldId="5"/>
    <tableColumn id="6" xr3:uid="{5C072914-12FA-4E41-879D-244CB2FF6714}" uniqueName="6" name="2008" queryTableFieldId="6"/>
    <tableColumn id="7" xr3:uid="{E2169807-96CD-4BE4-B5B8-08223A3F637D}" uniqueName="7" name="2009" queryTableFieldId="7"/>
    <tableColumn id="8" xr3:uid="{55178524-AB9D-4397-8813-E75CB7052576}" uniqueName="8" name="2010" queryTableFieldId="8"/>
    <tableColumn id="9" xr3:uid="{48137676-0018-4873-881A-EA338FBF9D14}" uniqueName="9" name="2011" queryTableFieldId="9"/>
    <tableColumn id="10" xr3:uid="{23B9F956-E683-403F-8129-1E28B781734F}" uniqueName="10" name="2012" queryTableFieldId="10"/>
    <tableColumn id="11" xr3:uid="{87B28EAA-A9FC-4878-9019-79FDEEF52114}" uniqueName="11" name="2013" queryTableFieldId="11"/>
    <tableColumn id="12" xr3:uid="{B25DE025-8E78-4644-BE4B-13B645DA617C}" uniqueName="12" name="2014" queryTableFieldId="12"/>
    <tableColumn id="13" xr3:uid="{3C27F4BF-AF08-47A2-B32E-70698A5AF9A6}" uniqueName="13" name="2015" queryTableFieldId="13"/>
    <tableColumn id="14" xr3:uid="{BDCEBB83-DB95-4957-91F4-A8BA4F9A21EC}" uniqueName="14" name="2016" queryTableFieldId="14"/>
    <tableColumn id="15" xr3:uid="{45EB5BAF-3740-467A-B434-971082DE1CD0}" uniqueName="15" name="2017" queryTableFieldId="15"/>
    <tableColumn id="16" xr3:uid="{56D11B7B-FC14-41F1-A5CD-3C173822376D}" uniqueName="16" name="2018" queryTableFieldId="16"/>
    <tableColumn id="17" xr3:uid="{AFE01F91-5928-41D8-B696-B695C58741C6}" uniqueName="17" name="2019" queryTableFieldId="17"/>
    <tableColumn id="18" xr3:uid="{611F5C1A-EA23-45DC-8383-D471601E3BD9}" uniqueName="18" name="2020" queryTableFieldId="18"/>
    <tableColumn id="19" xr3:uid="{8F297E70-C96F-4F33-8F4E-7300FABF6C38}" uniqueName="19" name="2021" queryTableFieldId="19"/>
    <tableColumn id="20" xr3:uid="{31E3C40D-5B5E-471B-8280-3FD6B5FBDE6F}" uniqueName="20" name="2022" queryTableFieldId="20"/>
    <tableColumn id="21" xr3:uid="{29389236-3D23-488B-9A3C-4A2AB7F23936}" uniqueName="21" name="2023" queryTableFieldId="21"/>
    <tableColumn id="22" xr3:uid="{6F86E421-B618-412C-B80C-9661B5D4EA37}" uniqueName="22" name="2024" queryTableFieldId="22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B901AA-43E3-45F0-BBC1-8BC4925913F0}" name="Singapore" displayName="Singapore" ref="A1:V34" tableType="queryTable" totalsRowShown="0">
  <autoFilter ref="A1:V34" xr:uid="{ACB901AA-43E3-45F0-BBC1-8BC4925913F0}"/>
  <tableColumns count="22">
    <tableColumn id="1" xr3:uid="{6A0730B8-35BD-4282-AE87-DD75890560CE}" uniqueName="1" name="Technology" queryTableFieldId="1" dataDxfId="13"/>
    <tableColumn id="2" xr3:uid="{BBFAC6F8-D92B-45CB-A8EB-73E9633ED3AC}" uniqueName="2" name="Unit" queryTableFieldId="2" dataDxfId="12"/>
    <tableColumn id="3" xr3:uid="{5CB27B1C-7F42-4CCF-AFB6-B8D50B1657AB}" uniqueName="3" name="2005" queryTableFieldId="3"/>
    <tableColumn id="4" xr3:uid="{21BC1D3F-4F78-4904-988E-3AF6691205EA}" uniqueName="4" name="2006" queryTableFieldId="4"/>
    <tableColumn id="5" xr3:uid="{A3964917-751B-4D18-B66D-113E514FC58E}" uniqueName="5" name="2007" queryTableFieldId="5"/>
    <tableColumn id="6" xr3:uid="{8E6B3C71-8130-4E1C-A62E-0C2AD2D53369}" uniqueName="6" name="2008" queryTableFieldId="6"/>
    <tableColumn id="7" xr3:uid="{AF9D8865-8E55-475A-87F7-EC25F7283A64}" uniqueName="7" name="2009" queryTableFieldId="7"/>
    <tableColumn id="8" xr3:uid="{E910CE26-9F65-4A4D-8029-00F5C57ECCA4}" uniqueName="8" name="2010" queryTableFieldId="8"/>
    <tableColumn id="9" xr3:uid="{5162BCFC-1015-4B23-A40B-E36254CB8345}" uniqueName="9" name="2011" queryTableFieldId="9"/>
    <tableColumn id="10" xr3:uid="{84794869-8CC6-4213-BC6B-B27AEFD2435F}" uniqueName="10" name="2012" queryTableFieldId="10"/>
    <tableColumn id="11" xr3:uid="{FE088680-BADE-4428-A25D-134360CAAB81}" uniqueName="11" name="2013" queryTableFieldId="11"/>
    <tableColumn id="12" xr3:uid="{AEE360EA-A36C-43C6-957E-1521B7246774}" uniqueName="12" name="2014" queryTableFieldId="12"/>
    <tableColumn id="13" xr3:uid="{5D3FA0ED-F14C-41BB-8D41-0093514168B7}" uniqueName="13" name="2015" queryTableFieldId="13"/>
    <tableColumn id="14" xr3:uid="{2ED03B0C-6E0B-4060-A7B4-F549BF4DD1AA}" uniqueName="14" name="2016" queryTableFieldId="14"/>
    <tableColumn id="15" xr3:uid="{51767C98-DD1B-4C88-8275-99353F76C61E}" uniqueName="15" name="2017" queryTableFieldId="15"/>
    <tableColumn id="16" xr3:uid="{39677978-3DA5-4219-BE01-53CEA8FA6DE8}" uniqueName="16" name="2018" queryTableFieldId="16"/>
    <tableColumn id="17" xr3:uid="{33C35C82-F1BB-438C-9ADF-B288FE3D2045}" uniqueName="17" name="2019" queryTableFieldId="17"/>
    <tableColumn id="18" xr3:uid="{7B62AB57-3CCA-409C-B648-0DDA54D23324}" uniqueName="18" name="2020" queryTableFieldId="18"/>
    <tableColumn id="19" xr3:uid="{4CB738E9-79C2-4544-A13F-5F34DA6BFAE6}" uniqueName="19" name="2021" queryTableFieldId="19"/>
    <tableColumn id="20" xr3:uid="{8B3D5576-A633-4443-831C-06A77F296B0F}" uniqueName="20" name="2022" queryTableFieldId="20"/>
    <tableColumn id="21" xr3:uid="{075635CB-605E-47BB-AEFE-6F39F2580728}" uniqueName="21" name="2023" queryTableFieldId="21"/>
    <tableColumn id="22" xr3:uid="{962243F9-2C6A-4BBF-A062-6037CE4F09C5}" uniqueName="22" name="2024" queryTableFieldId="2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76B0F4E-8AC0-4DD5-9043-230BD847B59A}" name="Thailand" displayName="Thailand" ref="A1:V34" tableType="queryTable" totalsRowShown="0">
  <autoFilter ref="A1:V34" xr:uid="{376B0F4E-8AC0-4DD5-9043-230BD847B59A}"/>
  <tableColumns count="22">
    <tableColumn id="1" xr3:uid="{32E51949-6A6F-4BAD-BE1B-1EA8C7316AA7}" uniqueName="1" name="Technology" queryTableFieldId="1" dataDxfId="11"/>
    <tableColumn id="2" xr3:uid="{6E49B2B6-7087-49A0-8C11-E491D9C61437}" uniqueName="2" name="Unit" queryTableFieldId="2" dataDxfId="10"/>
    <tableColumn id="3" xr3:uid="{144F85E8-627F-469F-878F-096CF37067D0}" uniqueName="3" name="2005" queryTableFieldId="3"/>
    <tableColumn id="4" xr3:uid="{3C0A6E77-342B-46A8-B7A0-FA4F6D77E2CD}" uniqueName="4" name="2006" queryTableFieldId="4"/>
    <tableColumn id="5" xr3:uid="{D9C7DF9E-CEF0-4F22-A126-1C0780F40871}" uniqueName="5" name="2007" queryTableFieldId="5"/>
    <tableColumn id="6" xr3:uid="{C14F1630-0CB5-406C-8C20-51DCA5BD8197}" uniqueName="6" name="2008" queryTableFieldId="6"/>
    <tableColumn id="7" xr3:uid="{AA8AB003-FF9B-43E4-A27C-D7F049BA13F5}" uniqueName="7" name="2009" queryTableFieldId="7"/>
    <tableColumn id="8" xr3:uid="{959DCBC0-080E-434A-8223-3339215D9D15}" uniqueName="8" name="2010" queryTableFieldId="8"/>
    <tableColumn id="9" xr3:uid="{6C676FAE-FC87-4B2B-955F-C4C55875B180}" uniqueName="9" name="2011" queryTableFieldId="9"/>
    <tableColumn id="10" xr3:uid="{7523B06C-BE8E-4A71-A7FA-A128E99CB1D5}" uniqueName="10" name="2012" queryTableFieldId="10"/>
    <tableColumn id="11" xr3:uid="{6E4B885B-B1A3-4663-9014-6C32A01FE143}" uniqueName="11" name="2013" queryTableFieldId="11"/>
    <tableColumn id="12" xr3:uid="{560154A3-18D4-4F86-A267-E1915EA7B5FF}" uniqueName="12" name="2014" queryTableFieldId="12"/>
    <tableColumn id="13" xr3:uid="{691A2B32-DA92-40A9-B7F6-A5693C8C09C3}" uniqueName="13" name="2015" queryTableFieldId="13"/>
    <tableColumn id="14" xr3:uid="{50337073-B62D-4537-95B1-D9C3F95DDC43}" uniqueName="14" name="2016" queryTableFieldId="14"/>
    <tableColumn id="15" xr3:uid="{7C090893-4A2F-47C7-8ED0-6860781DD743}" uniqueName="15" name="2017" queryTableFieldId="15"/>
    <tableColumn id="16" xr3:uid="{43128D4B-39E6-49BC-B6B7-409F036EA388}" uniqueName="16" name="2018" queryTableFieldId="16"/>
    <tableColumn id="17" xr3:uid="{E02FC0E7-578A-4665-A63E-3F7EDCC958E6}" uniqueName="17" name="2019" queryTableFieldId="17"/>
    <tableColumn id="18" xr3:uid="{FE754FF5-A888-4580-9ACC-325A94DC6132}" uniqueName="18" name="2020" queryTableFieldId="18"/>
    <tableColumn id="19" xr3:uid="{E0124E77-E2A3-499E-B584-B9B8730A2887}" uniqueName="19" name="2021" queryTableFieldId="19"/>
    <tableColumn id="20" xr3:uid="{2F6A4EA1-1CD0-4FED-82E6-EC43E5F62BCF}" uniqueName="20" name="2022" queryTableFieldId="20"/>
    <tableColumn id="21" xr3:uid="{23EB31D3-FCFD-4718-9295-396D1B82CC13}" uniqueName="21" name="2023" queryTableFieldId="21"/>
    <tableColumn id="22" xr3:uid="{CC9E150F-3BBD-49C2-A124-AC37707027A9}" uniqueName="22" name="2024" queryTableFieldId="2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BB5720-6418-4641-9D0A-0F152F603B41}" name="Vietnam" displayName="Vietnam" ref="A1:V34" tableType="queryTable" totalsRowShown="0">
  <autoFilter ref="A1:V34" xr:uid="{35BB5720-6418-4641-9D0A-0F152F603B41}"/>
  <tableColumns count="22">
    <tableColumn id="1" xr3:uid="{99F647EC-C92A-49EE-8FBF-0ACFC5463E34}" uniqueName="1" name="Technology" queryTableFieldId="1" dataDxfId="9"/>
    <tableColumn id="2" xr3:uid="{1F019618-D921-4CE1-8013-A4B857E3A725}" uniqueName="2" name="Unit" queryTableFieldId="2" dataDxfId="8"/>
    <tableColumn id="3" xr3:uid="{9F9E4FAE-515D-4E47-A07B-D212DF558BDE}" uniqueName="3" name="2005" queryTableFieldId="3"/>
    <tableColumn id="4" xr3:uid="{B1BDB1B1-E09F-4B1E-95BA-B4AD23BFF8B5}" uniqueName="4" name="2006" queryTableFieldId="4"/>
    <tableColumn id="5" xr3:uid="{DC51D04D-A5B9-4A91-9989-85D65D938C45}" uniqueName="5" name="2007" queryTableFieldId="5"/>
    <tableColumn id="6" xr3:uid="{9618B342-551C-4FA2-A276-734DBA68FA2A}" uniqueName="6" name="2008" queryTableFieldId="6"/>
    <tableColumn id="7" xr3:uid="{331AE968-36D3-4290-ADF7-EB17DDAD2D31}" uniqueName="7" name="2009" queryTableFieldId="7"/>
    <tableColumn id="8" xr3:uid="{BF73091C-1DB7-457A-9563-D7DDB83BA63E}" uniqueName="8" name="2010" queryTableFieldId="8"/>
    <tableColumn id="9" xr3:uid="{721BF93F-E59A-44D0-8164-7B83BB1B84A4}" uniqueName="9" name="2011" queryTableFieldId="9"/>
    <tableColumn id="10" xr3:uid="{1410DB95-9BF3-4912-BF5B-9EAEF0E863A4}" uniqueName="10" name="2012" queryTableFieldId="10"/>
    <tableColumn id="11" xr3:uid="{3372ECCC-6B06-485C-BCFB-DA57E57F5EDC}" uniqueName="11" name="2013" queryTableFieldId="11"/>
    <tableColumn id="12" xr3:uid="{845DB254-7A4E-4275-9481-DE75D9E664F9}" uniqueName="12" name="2014" queryTableFieldId="12"/>
    <tableColumn id="13" xr3:uid="{DE16F061-E90D-4EA6-986F-417355540309}" uniqueName="13" name="2015" queryTableFieldId="13"/>
    <tableColumn id="14" xr3:uid="{E5550111-F455-4B39-B83F-BED6CD26F0E8}" uniqueName="14" name="2016" queryTableFieldId="14"/>
    <tableColumn id="15" xr3:uid="{635B6CE2-8574-4BE4-A4D8-6EE98F026878}" uniqueName="15" name="2017" queryTableFieldId="15"/>
    <tableColumn id="16" xr3:uid="{57A5DFCA-0BBC-4575-95D4-72C5DAA4D740}" uniqueName="16" name="2018" queryTableFieldId="16"/>
    <tableColumn id="17" xr3:uid="{8BDF560B-902D-4972-AB4F-C198B738790D}" uniqueName="17" name="2019" queryTableFieldId="17"/>
    <tableColumn id="18" xr3:uid="{AF986AA7-1605-4701-A2E2-5BA7E014FADE}" uniqueName="18" name="2020" queryTableFieldId="18"/>
    <tableColumn id="19" xr3:uid="{DFE80F86-3834-4AC8-A47E-66706B80B146}" uniqueName="19" name="2021" queryTableFieldId="19"/>
    <tableColumn id="20" xr3:uid="{6D5415CA-27A5-4809-9E5B-3CEF7FF3A7AB}" uniqueName="20" name="2022" queryTableFieldId="20"/>
    <tableColumn id="21" xr3:uid="{AC186B1B-0F13-422C-AB58-E7D8B4A379B1}" uniqueName="21" name="2023" queryTableFieldId="21"/>
    <tableColumn id="22" xr3:uid="{8F34038B-E936-40DC-B6DF-571ACA465529}" uniqueName="22" name="2024" queryTableFieldId="2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E8920-D044-463E-BAC7-C39714F2FFB4}" name="Source" displayName="Source" ref="A1:F13" tableType="queryTable" totalsRowShown="0">
  <autoFilter ref="A1:F13" xr:uid="{4FFE8920-D044-463E-BAC7-C39714F2FFB4}"/>
  <tableColumns count="6">
    <tableColumn id="1" xr3:uid="{EB24BA9F-467F-4383-B4A3-030E5CB52246}" uniqueName="1" name="Name" queryTableFieldId="1" dataDxfId="7"/>
    <tableColumn id="2" xr3:uid="{C78F7C77-99E0-4DC1-9F60-29D6D772DBED}" uniqueName="2" name="Extension" queryTableFieldId="2" dataDxfId="6"/>
    <tableColumn id="3" xr3:uid="{DB428FCB-772D-4DC4-B23A-B90F669EC27A}" uniqueName="3" name="Date accessed" queryTableFieldId="3" dataDxfId="5"/>
    <tableColumn id="4" xr3:uid="{B0B1EF09-9521-45B1-B50B-1B42D95C7CF0}" uniqueName="4" name="Date modified" queryTableFieldId="4" dataDxfId="4"/>
    <tableColumn id="5" xr3:uid="{B8774200-85B9-4548-9E0A-79535206C86C}" uniqueName="5" name="Date created" queryTableFieldId="5" dataDxfId="3"/>
    <tableColumn id="6" xr3:uid="{AEA6AAF1-F709-40D0-82A2-2250B1E765B9}" uniqueName="6" name="Folder Path" queryTableFieldId="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93B0-F5C5-4869-93FD-F58CC5B64141}">
  <dimension ref="A1:O287"/>
  <sheetViews>
    <sheetView workbookViewId="0">
      <selection activeCell="H4" sqref="H4"/>
    </sheetView>
  </sheetViews>
  <sheetFormatPr defaultRowHeight="14.25" x14ac:dyDescent="0.2"/>
  <cols>
    <col min="1" max="1" width="11.5" customWidth="1"/>
    <col min="2" max="2" width="18.125" customWidth="1"/>
    <col min="3" max="3" width="9.875" style="11" bestFit="1" customWidth="1"/>
    <col min="4" max="4" width="16.75" customWidth="1"/>
    <col min="5" max="5" width="9.875" style="17" bestFit="1" customWidth="1"/>
    <col min="8" max="8" width="8.25" style="2" bestFit="1" customWidth="1"/>
    <col min="9" max="9" width="19" bestFit="1" customWidth="1"/>
    <col min="10" max="10" width="9.875" style="11" bestFit="1" customWidth="1"/>
    <col min="11" max="11" width="24.75" bestFit="1" customWidth="1"/>
    <col min="12" max="12" width="9.875" style="11" bestFit="1" customWidth="1"/>
    <col min="14" max="14" width="4.875" bestFit="1" customWidth="1"/>
    <col min="15" max="15" width="13.75" bestFit="1" customWidth="1"/>
  </cols>
  <sheetData>
    <row r="1" spans="1:15" ht="15" x14ac:dyDescent="0.25">
      <c r="A1" t="s">
        <v>0</v>
      </c>
      <c r="B1" t="s">
        <v>19</v>
      </c>
      <c r="H1" s="20" t="s">
        <v>164</v>
      </c>
    </row>
    <row r="2" spans="1:15" x14ac:dyDescent="0.2">
      <c r="A2" t="s">
        <v>2</v>
      </c>
      <c r="B2" t="s">
        <v>102</v>
      </c>
      <c r="H2" s="5" t="s">
        <v>165</v>
      </c>
    </row>
    <row r="3" spans="1:15" x14ac:dyDescent="0.2">
      <c r="A3" t="s">
        <v>4</v>
      </c>
      <c r="B3" s="7" cm="1">
        <f t="array" ref="B3">_xlfn.LET(_xlpm.val,_xlfn._xlws.FILTER(_xlfn.HSTACK(leap[Branch Path],leap[[2005]:[2024]]),(leap[Region]=B1)*(leap[Variable]=B2)),ROWS(_xlfn._xlws.FILTER(_xlfn.TAKE(_xlpm.val,,1),_xlfn.BYROW(_xlfn.DROP(_xlpm.val,,1),_xleta.SUM)&gt;0)))</f>
        <v>14</v>
      </c>
    </row>
    <row r="4" spans="1:15" x14ac:dyDescent="0.2">
      <c r="B4" s="5"/>
    </row>
    <row r="5" spans="1:15" ht="15" x14ac:dyDescent="0.25">
      <c r="A5" s="14" t="s">
        <v>5</v>
      </c>
      <c r="B5" s="15"/>
      <c r="C5" s="16"/>
      <c r="D5" s="15"/>
      <c r="E5" s="18"/>
      <c r="F5" s="15"/>
      <c r="H5" s="14" t="s">
        <v>6</v>
      </c>
      <c r="I5" s="15"/>
      <c r="J5" s="16"/>
      <c r="K5" s="15"/>
      <c r="L5" s="16"/>
    </row>
    <row r="6" spans="1:15" x14ac:dyDescent="0.2">
      <c r="A6" s="9"/>
      <c r="B6" s="8" t="s">
        <v>7</v>
      </c>
      <c r="C6" s="12"/>
      <c r="D6" s="10" t="s">
        <v>8</v>
      </c>
      <c r="E6" s="19"/>
      <c r="I6" s="8" t="s">
        <v>7</v>
      </c>
      <c r="J6" s="12"/>
      <c r="K6" s="10" t="s">
        <v>8</v>
      </c>
      <c r="L6" s="13"/>
    </row>
    <row r="7" spans="1:15" x14ac:dyDescent="0.2">
      <c r="A7" s="2" t="s">
        <v>9</v>
      </c>
      <c r="B7" t="s">
        <v>10</v>
      </c>
      <c r="C7" s="11" t="s">
        <v>11</v>
      </c>
      <c r="D7" t="s">
        <v>10</v>
      </c>
      <c r="E7" s="17" t="s">
        <v>11</v>
      </c>
      <c r="F7" s="2" t="s">
        <v>12</v>
      </c>
      <c r="H7" s="2" t="s">
        <v>9</v>
      </c>
      <c r="I7" t="s">
        <v>10</v>
      </c>
      <c r="J7" s="11" t="s">
        <v>11</v>
      </c>
      <c r="K7" t="s">
        <v>10</v>
      </c>
      <c r="L7" s="11" t="s">
        <v>11</v>
      </c>
    </row>
    <row r="8" spans="1:15" x14ac:dyDescent="0.2">
      <c r="A8" s="2" cm="1">
        <f t="array" ref="A8:A287">_xlfn.CEILING.MATH(_xlfn.SEQUENCE(B3*(2024-2005+1))/B3,1)-1+2005</f>
        <v>2005</v>
      </c>
      <c r="B8" t="str" cm="1">
        <f t="array" ref="B8:C287">_xlfn.LET(_xlpm.country,B1,
_xlpm.len,_xlfn.TOCOL((2024-2005+1)*B3),
_xlpm.val,_xlfn._xlws.FILTER(_xlfn.HSTACK(leap[Branch Path],leap[[2005]:[2024]]),(leap[Region]=B1)*(leap[Variable]=B2)),
_xlpm.fval,_xlfn._xlws.FILTER(_xlpm.val,_xlfn.BYROW(_xlfn.DROP(_xlpm.val,,1),_xleta.SUM)&gt;0),
_xlpm.fuel,_xlfn.TEXTAFTER(_xlfn.TAKE(_xlpm.fval,,1),"\",3),
_xlpm.r,2024-2005+1,_xlpm.l,B3,
_xlpm.fuel_seq,_xlfn.TOCOL(IF(_xlfn.SEQUENCE(,_xlpm.r)&lt;=_xlfn.CEILING.MATH(_xlfn.SEQUENCE(_xlpm.l)/_xlpm.l,1)-1+_xlpm.r,_xlpm.fuel,NA()),,1),
_xlpm.fuel_val,_xlfn.TOCOL(_xlfn.DROP(_xlpm.fval,,1),,1),
_xlfn.HSTACK(_xlpm.fuel_seq,_xlpm.fuel_val))</f>
        <v>Coal Subcritical</v>
      </c>
      <c r="C8" s="11">
        <v>9750</v>
      </c>
      <c r="D8" t="str" cm="1">
        <f t="array" aca="1" ref="D8:E287" ca="1">_xlfn.LET(_xlpm.country,B1,
_xlpm.table,INDIRECT(IF(B2="Existing Capacity",_xlpm.country,_xlpm.country&amp;"_HP")),
_xlpm.len,_xlfn.TOCOL((2024-2005+1)*B3),
_xlpm.val,_xlfn._xlws.FILTER(_xlfn.HSTACK(leap[Branch Path],leap[[2005]:[2024]]),(leap[Region]=B1)*(leap[Variable]=B2)),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_xlpm.fuel_val,_xlfn.TOCOL(_xlfn.DROP(_xlfn.CHOOSEROWS(_xlpm.table,_xlpm.id),,2),,1),
_xlpm.r,2024-2005+1,_xlpm.l,B3,
_xlpm.fuel_seq,_xlfn.TOCOL(IF(_xlfn.SEQUENCE(,_xlpm.r)&lt;=_xlfn.CEILING.MATH(_xlfn.SEQUENCE(_xlpm.l)/_xlpm.l,1)-1+_xlpm.r,_xlpm.mapping,NA()),,1),
_xlfn.HSTACK(_xlpm.fuel_seq,_xlpm.fuel_val))</f>
        <v>Coal Subcritical</v>
      </c>
      <c r="E8" s="17">
        <f ca="1"/>
        <v>9750</v>
      </c>
      <c r="F8" cm="1">
        <f t="array" aca="1" ref="F8:F287" ca="1">ROUND(ABS(_xlfn.TAKE(_xlfn.ANCHORARRAY(B8),,-1)-_xlfn.TAKE(_xlfn.ANCHORARRAY(D8),,-1)),1)</f>
        <v>0</v>
      </c>
      <c r="H8" s="2" cm="1">
        <f t="array" aca="1" ref="H8:L17" ca="1">IFERROR(_xlfn._xlws.SORT(_xlfn._xlws.FILTER(_xlfn.HSTACK(_xlfn.ANCHORARRAY(A8),_xlfn.ANCHORARRAY(B8),_xlfn.ANCHORARRAY(D8)),_xlfn.ANCHORARRAY(F8)&gt;0),2),"")</f>
        <v>2022</v>
      </c>
      <c r="I8" t="str">
        <f ca="1"/>
        <v>Coal Subcritical</v>
      </c>
      <c r="J8" s="11">
        <f ca="1"/>
        <v>42635.26</v>
      </c>
      <c r="K8" t="str">
        <f ca="1"/>
        <v>Coal Subcritical</v>
      </c>
      <c r="L8" s="11">
        <f ca="1"/>
        <v>42605.26</v>
      </c>
      <c r="O8" s="11">
        <f ca="1">J8-L8</f>
        <v>30</v>
      </c>
    </row>
    <row r="9" spans="1:15" x14ac:dyDescent="0.2">
      <c r="A9" s="2">
        <v>2005</v>
      </c>
      <c r="B9" t="str">
        <v>Coal Supercritical</v>
      </c>
      <c r="C9" s="11">
        <v>0</v>
      </c>
      <c r="D9" t="str">
        <f ca="1"/>
        <v>Coal Supercritical</v>
      </c>
      <c r="E9" s="17">
        <f ca="1"/>
        <v>0</v>
      </c>
      <c r="F9">
        <f ca="1"/>
        <v>0</v>
      </c>
      <c r="H9" s="2">
        <f ca="1"/>
        <v>2023</v>
      </c>
      <c r="I9" t="str">
        <f ca="1"/>
        <v>Coal Subcritical</v>
      </c>
      <c r="J9" s="11">
        <f ca="1"/>
        <v>49756.37</v>
      </c>
      <c r="K9" t="str">
        <f ca="1"/>
        <v>Coal Subcritical</v>
      </c>
      <c r="L9" s="11">
        <f ca="1"/>
        <v>46347.37</v>
      </c>
      <c r="O9" s="11">
        <f t="shared" ref="O9:O20" ca="1" si="0">J9-L9</f>
        <v>3409</v>
      </c>
    </row>
    <row r="10" spans="1:15" x14ac:dyDescent="0.2">
      <c r="A10" s="2">
        <v>2005</v>
      </c>
      <c r="B10" t="str">
        <v>Diesel</v>
      </c>
      <c r="C10" s="11">
        <v>3208.08</v>
      </c>
      <c r="D10" t="str">
        <f ca="1"/>
        <v>Diesel Oil</v>
      </c>
      <c r="E10" s="17">
        <f ca="1"/>
        <v>3208.08</v>
      </c>
      <c r="F10">
        <f ca="1"/>
        <v>0</v>
      </c>
      <c r="H10" s="2">
        <f ca="1"/>
        <v>2024</v>
      </c>
      <c r="I10" t="str">
        <f ca="1"/>
        <v>Coal Subcritical</v>
      </c>
      <c r="J10" s="11">
        <f ca="1"/>
        <v>54338.84</v>
      </c>
      <c r="K10" t="str">
        <f ca="1"/>
        <v>Coal Subcritical</v>
      </c>
      <c r="L10" s="11">
        <f ca="1"/>
        <v>50929.84</v>
      </c>
      <c r="O10" s="11">
        <f t="shared" ca="1" si="0"/>
        <v>3409</v>
      </c>
    </row>
    <row r="11" spans="1:15" x14ac:dyDescent="0.2">
      <c r="A11" s="2">
        <v>2005</v>
      </c>
      <c r="B11" t="str">
        <v>Gas Turbine</v>
      </c>
      <c r="C11" s="11">
        <v>3099.35</v>
      </c>
      <c r="D11" t="str">
        <f ca="1"/>
        <v>Natural gas based Gas Turbine</v>
      </c>
      <c r="E11" s="17">
        <f ca="1"/>
        <v>3099.35</v>
      </c>
      <c r="F11">
        <f ca="1"/>
        <v>0</v>
      </c>
      <c r="H11" s="2">
        <f ca="1"/>
        <v>2023</v>
      </c>
      <c r="I11" t="str">
        <f ca="1"/>
        <v>Coal Supercritical</v>
      </c>
      <c r="J11" s="11">
        <f ca="1"/>
        <v>3942</v>
      </c>
      <c r="K11" t="str">
        <f ca="1"/>
        <v>Coal Supercritical</v>
      </c>
      <c r="L11" s="11">
        <f ca="1"/>
        <v>3409</v>
      </c>
      <c r="O11" s="11">
        <f t="shared" ca="1" si="0"/>
        <v>533</v>
      </c>
    </row>
    <row r="12" spans="1:15" x14ac:dyDescent="0.2">
      <c r="A12" s="2">
        <v>2005</v>
      </c>
      <c r="B12" t="str">
        <v>Gas Engine</v>
      </c>
      <c r="C12" s="11">
        <v>3</v>
      </c>
      <c r="D12" t="str">
        <f ca="1"/>
        <v>Gas Engine</v>
      </c>
      <c r="E12" s="17">
        <f ca="1"/>
        <v>3</v>
      </c>
      <c r="F12">
        <f ca="1"/>
        <v>0</v>
      </c>
      <c r="H12" s="2">
        <f ca="1"/>
        <v>2024</v>
      </c>
      <c r="I12" t="str">
        <f ca="1"/>
        <v>Coal Supercritical</v>
      </c>
      <c r="J12" s="11">
        <f ca="1"/>
        <v>4301</v>
      </c>
      <c r="K12" t="str">
        <f ca="1"/>
        <v>Coal Supercritical</v>
      </c>
      <c r="L12" s="11">
        <f ca="1"/>
        <v>3409</v>
      </c>
      <c r="O12" s="11">
        <f t="shared" ca="1" si="0"/>
        <v>892</v>
      </c>
    </row>
    <row r="13" spans="1:15" x14ac:dyDescent="0.2">
      <c r="A13" s="2">
        <v>2005</v>
      </c>
      <c r="B13" t="str">
        <v>Gas Combined Cycle</v>
      </c>
      <c r="C13" s="11">
        <v>6919.97</v>
      </c>
      <c r="D13" t="str">
        <f ca="1"/>
        <v>Combined Cycle Gas Turbine</v>
      </c>
      <c r="E13" s="17">
        <f ca="1"/>
        <v>6919.97</v>
      </c>
      <c r="F13">
        <f ca="1"/>
        <v>0</v>
      </c>
      <c r="H13" s="2">
        <f ca="1"/>
        <v>2018</v>
      </c>
      <c r="I13" t="str">
        <f ca="1"/>
        <v>Solar PV</v>
      </c>
      <c r="J13" s="11">
        <f ca="1"/>
        <v>52.61</v>
      </c>
      <c r="K13" t="str">
        <f ca="1"/>
        <v>Solar PV</v>
      </c>
      <c r="L13" s="11">
        <f ca="1"/>
        <v>60.190000000000005</v>
      </c>
      <c r="O13" s="11">
        <f t="shared" ca="1" si="0"/>
        <v>-7.5800000000000054</v>
      </c>
    </row>
    <row r="14" spans="1:15" x14ac:dyDescent="0.2">
      <c r="A14" s="2">
        <v>2005</v>
      </c>
      <c r="B14" t="str">
        <v>Large Hydro</v>
      </c>
      <c r="C14" s="11">
        <v>3410.94</v>
      </c>
      <c r="D14" t="str">
        <f ca="1"/>
        <v>Large Hydro</v>
      </c>
      <c r="E14" s="17">
        <f ca="1"/>
        <v>3410.94</v>
      </c>
      <c r="F14">
        <f ca="1"/>
        <v>0</v>
      </c>
      <c r="H14" s="2">
        <f ca="1"/>
        <v>2022</v>
      </c>
      <c r="I14" t="str">
        <f ca="1"/>
        <v>Solar PV</v>
      </c>
      <c r="J14" s="11">
        <f ca="1"/>
        <v>272.22000000000003</v>
      </c>
      <c r="K14" t="str">
        <f ca="1"/>
        <v>Solar PV</v>
      </c>
      <c r="L14" s="11">
        <f ca="1"/>
        <v>283.14</v>
      </c>
      <c r="O14" s="11">
        <f t="shared" ca="1" si="0"/>
        <v>-10.919999999999959</v>
      </c>
    </row>
    <row r="15" spans="1:15" x14ac:dyDescent="0.2">
      <c r="A15" s="2">
        <v>2005</v>
      </c>
      <c r="B15" t="str">
        <v>Small Hydro</v>
      </c>
      <c r="C15" s="11">
        <v>0</v>
      </c>
      <c r="D15" t="str">
        <f ca="1"/>
        <v>Small Hydro</v>
      </c>
      <c r="E15" s="17">
        <f ca="1"/>
        <v>0</v>
      </c>
      <c r="F15">
        <f ca="1"/>
        <v>0</v>
      </c>
      <c r="H15" s="2">
        <f ca="1"/>
        <v>2023</v>
      </c>
      <c r="I15" t="str">
        <f ca="1"/>
        <v>Solar PV</v>
      </c>
      <c r="J15" s="11">
        <f ca="1"/>
        <v>589.04999999999995</v>
      </c>
      <c r="K15" t="str">
        <f ca="1"/>
        <v>Solar PV</v>
      </c>
      <c r="L15" s="11">
        <f ca="1"/>
        <v>599.97</v>
      </c>
      <c r="O15" s="11">
        <f t="shared" ca="1" si="0"/>
        <v>-10.920000000000073</v>
      </c>
    </row>
    <row r="16" spans="1:15" x14ac:dyDescent="0.2">
      <c r="A16" s="2">
        <v>2005</v>
      </c>
      <c r="B16" t="str">
        <v>Geothermal Flash</v>
      </c>
      <c r="C16" s="11">
        <v>850</v>
      </c>
      <c r="D16" t="str">
        <f ca="1"/>
        <v>Geothermal</v>
      </c>
      <c r="E16" s="17">
        <f ca="1"/>
        <v>850</v>
      </c>
      <c r="F16">
        <f ca="1"/>
        <v>0</v>
      </c>
      <c r="H16" s="2">
        <f ca="1"/>
        <v>2024</v>
      </c>
      <c r="I16" t="str">
        <f ca="1"/>
        <v>Solar PV</v>
      </c>
      <c r="J16" s="11">
        <f ca="1"/>
        <v>898.54</v>
      </c>
      <c r="K16" t="str">
        <f ca="1"/>
        <v>Solar PV</v>
      </c>
      <c r="L16" s="11">
        <f ca="1"/>
        <v>909.43</v>
      </c>
      <c r="O16" s="11">
        <f t="shared" ca="1" si="0"/>
        <v>-10.889999999999986</v>
      </c>
    </row>
    <row r="17" spans="1:15" x14ac:dyDescent="0.2">
      <c r="A17" s="2">
        <v>2005</v>
      </c>
      <c r="B17" t="str">
        <v>Solar PV</v>
      </c>
      <c r="C17" s="11">
        <v>0</v>
      </c>
      <c r="D17" t="str">
        <f ca="1"/>
        <v>Solar PV</v>
      </c>
      <c r="E17" s="17">
        <f ca="1"/>
        <v>0</v>
      </c>
      <c r="F17">
        <f ca="1"/>
        <v>0</v>
      </c>
      <c r="H17" s="2">
        <f ca="1"/>
        <v>2020</v>
      </c>
      <c r="I17" t="str">
        <f ca="1"/>
        <v>Wind Onshore</v>
      </c>
      <c r="J17" s="11">
        <f ca="1"/>
        <v>153.83000000000001</v>
      </c>
      <c r="K17" t="str">
        <f ca="1"/>
        <v>Wind Turbine</v>
      </c>
      <c r="L17" s="11">
        <f ca="1"/>
        <v>154.31</v>
      </c>
      <c r="O17" s="11">
        <f t="shared" ca="1" si="0"/>
        <v>-0.47999999999998977</v>
      </c>
    </row>
    <row r="18" spans="1:15" x14ac:dyDescent="0.2">
      <c r="A18" s="2">
        <v>2005</v>
      </c>
      <c r="B18" t="str">
        <v>Wind Onshore</v>
      </c>
      <c r="C18" s="11">
        <v>0</v>
      </c>
      <c r="D18" t="str">
        <f ca="1"/>
        <v>Wind Turbine</v>
      </c>
      <c r="E18" s="17">
        <f ca="1"/>
        <v>0</v>
      </c>
      <c r="F18">
        <f ca="1"/>
        <v>0</v>
      </c>
      <c r="O18" s="11">
        <f t="shared" si="0"/>
        <v>0</v>
      </c>
    </row>
    <row r="19" spans="1:15" x14ac:dyDescent="0.2">
      <c r="A19" s="2">
        <v>2005</v>
      </c>
      <c r="B19" t="str">
        <v>Biomass Other</v>
      </c>
      <c r="C19" s="11">
        <v>0</v>
      </c>
      <c r="D19" t="str">
        <f ca="1"/>
        <v>Biomass Other</v>
      </c>
      <c r="E19" s="17">
        <f ca="1"/>
        <v>0</v>
      </c>
      <c r="F19">
        <f ca="1"/>
        <v>0</v>
      </c>
      <c r="O19" s="11">
        <f t="shared" si="0"/>
        <v>0</v>
      </c>
    </row>
    <row r="20" spans="1:15" x14ac:dyDescent="0.2">
      <c r="A20" s="2">
        <v>2005</v>
      </c>
      <c r="B20" t="str">
        <v>Biogas</v>
      </c>
      <c r="C20" s="11">
        <v>0</v>
      </c>
      <c r="D20" t="str">
        <f ca="1"/>
        <v>Biogas</v>
      </c>
      <c r="E20" s="17">
        <f ca="1"/>
        <v>0</v>
      </c>
      <c r="F20">
        <f ca="1"/>
        <v>0</v>
      </c>
      <c r="O20" s="11">
        <f t="shared" si="0"/>
        <v>0</v>
      </c>
    </row>
    <row r="21" spans="1:15" x14ac:dyDescent="0.2">
      <c r="A21" s="2">
        <v>2005</v>
      </c>
      <c r="B21" t="str">
        <v>Waste</v>
      </c>
      <c r="C21" s="11">
        <v>0</v>
      </c>
      <c r="D21" t="str">
        <f ca="1"/>
        <v>Waste to Energy</v>
      </c>
      <c r="E21" s="17">
        <f ca="1"/>
        <v>0</v>
      </c>
      <c r="F21">
        <f ca="1"/>
        <v>0</v>
      </c>
    </row>
    <row r="22" spans="1:15" x14ac:dyDescent="0.2">
      <c r="A22" s="2">
        <v>2006</v>
      </c>
      <c r="B22" t="str">
        <v>Coal Subcritical</v>
      </c>
      <c r="C22" s="11">
        <v>11170</v>
      </c>
      <c r="D22" t="str">
        <f ca="1"/>
        <v>Coal Subcritical</v>
      </c>
      <c r="E22" s="17">
        <f ca="1"/>
        <v>11170</v>
      </c>
      <c r="F22">
        <f ca="1"/>
        <v>0</v>
      </c>
    </row>
    <row r="23" spans="1:15" x14ac:dyDescent="0.2">
      <c r="A23" s="2">
        <v>2006</v>
      </c>
      <c r="B23" t="str">
        <v>Coal Supercritical</v>
      </c>
      <c r="C23" s="11">
        <v>0</v>
      </c>
      <c r="D23" t="str">
        <f ca="1"/>
        <v>Coal Supercritical</v>
      </c>
      <c r="E23" s="17">
        <f ca="1"/>
        <v>0</v>
      </c>
      <c r="F23">
        <f ca="1"/>
        <v>0</v>
      </c>
    </row>
    <row r="24" spans="1:15" x14ac:dyDescent="0.2">
      <c r="A24" s="2">
        <v>2006</v>
      </c>
      <c r="B24" t="str">
        <v>Diesel</v>
      </c>
      <c r="C24" s="11">
        <v>3165.05</v>
      </c>
      <c r="D24" t="str">
        <f ca="1"/>
        <v>Diesel Oil</v>
      </c>
      <c r="E24" s="17">
        <f ca="1"/>
        <v>3165.05</v>
      </c>
      <c r="F24">
        <f ca="1"/>
        <v>0</v>
      </c>
    </row>
    <row r="25" spans="1:15" x14ac:dyDescent="0.2">
      <c r="A25" s="2">
        <v>2006</v>
      </c>
      <c r="B25" t="str">
        <v>Gas Turbine</v>
      </c>
      <c r="C25" s="11">
        <v>3102.95</v>
      </c>
      <c r="D25" t="str">
        <f ca="1"/>
        <v>Natural gas based Gas Turbine</v>
      </c>
      <c r="E25" s="17">
        <f ca="1"/>
        <v>3102.9500000000003</v>
      </c>
      <c r="F25">
        <f ca="1"/>
        <v>0</v>
      </c>
    </row>
    <row r="26" spans="1:15" x14ac:dyDescent="0.2">
      <c r="A26" s="2">
        <v>2006</v>
      </c>
      <c r="B26" t="str">
        <v>Gas Engine</v>
      </c>
      <c r="C26" s="11">
        <v>21</v>
      </c>
      <c r="D26" t="str">
        <f ca="1"/>
        <v>Gas Engine</v>
      </c>
      <c r="E26" s="17">
        <f ca="1"/>
        <v>21</v>
      </c>
      <c r="F26">
        <f ca="1"/>
        <v>0</v>
      </c>
    </row>
    <row r="27" spans="1:15" x14ac:dyDescent="0.2">
      <c r="A27" s="2">
        <v>2006</v>
      </c>
      <c r="B27" t="str">
        <v>Gas Combined Cycle</v>
      </c>
      <c r="C27" s="11">
        <v>7659.97</v>
      </c>
      <c r="D27" t="str">
        <f ca="1"/>
        <v>Combined Cycle Gas Turbine</v>
      </c>
      <c r="E27" s="17">
        <f ca="1"/>
        <v>7659.97</v>
      </c>
      <c r="F27">
        <f ca="1"/>
        <v>0</v>
      </c>
    </row>
    <row r="28" spans="1:15" x14ac:dyDescent="0.2">
      <c r="A28" s="2">
        <v>2006</v>
      </c>
      <c r="B28" t="str">
        <v>Large Hydro</v>
      </c>
      <c r="C28" s="11">
        <v>3719.19</v>
      </c>
      <c r="D28" t="str">
        <f ca="1"/>
        <v>Large Hydro</v>
      </c>
      <c r="E28" s="17">
        <f ca="1"/>
        <v>3719.19</v>
      </c>
      <c r="F28">
        <f ca="1"/>
        <v>0</v>
      </c>
    </row>
    <row r="29" spans="1:15" x14ac:dyDescent="0.2">
      <c r="A29" s="2">
        <v>2006</v>
      </c>
      <c r="B29" t="str">
        <v>Small Hydro</v>
      </c>
      <c r="C29" s="11">
        <v>0</v>
      </c>
      <c r="D29" t="str">
        <f ca="1"/>
        <v>Small Hydro</v>
      </c>
      <c r="E29" s="17">
        <f ca="1"/>
        <v>0</v>
      </c>
      <c r="F29">
        <f ca="1"/>
        <v>0</v>
      </c>
    </row>
    <row r="30" spans="1:15" x14ac:dyDescent="0.2">
      <c r="A30" s="2">
        <v>2006</v>
      </c>
      <c r="B30" t="str">
        <v>Geothermal Flash</v>
      </c>
      <c r="C30" s="11">
        <v>850</v>
      </c>
      <c r="D30" t="str">
        <f ca="1"/>
        <v>Geothermal</v>
      </c>
      <c r="E30" s="17">
        <f ca="1"/>
        <v>850</v>
      </c>
      <c r="F30">
        <f ca="1"/>
        <v>0</v>
      </c>
    </row>
    <row r="31" spans="1:15" x14ac:dyDescent="0.2">
      <c r="A31" s="2">
        <v>2006</v>
      </c>
      <c r="B31" t="str">
        <v>Solar PV</v>
      </c>
      <c r="C31" s="11">
        <v>0</v>
      </c>
      <c r="D31" t="str">
        <f ca="1"/>
        <v>Solar PV</v>
      </c>
      <c r="E31" s="17">
        <f ca="1"/>
        <v>0</v>
      </c>
      <c r="F31">
        <f ca="1"/>
        <v>0</v>
      </c>
    </row>
    <row r="32" spans="1:15" x14ac:dyDescent="0.2">
      <c r="A32" s="2">
        <v>2006</v>
      </c>
      <c r="B32" t="str">
        <v>Wind Onshore</v>
      </c>
      <c r="C32" s="11">
        <v>0</v>
      </c>
      <c r="D32" t="str">
        <f ca="1"/>
        <v>Wind Turbine</v>
      </c>
      <c r="E32" s="17">
        <f ca="1"/>
        <v>0</v>
      </c>
      <c r="F32">
        <f ca="1"/>
        <v>0</v>
      </c>
    </row>
    <row r="33" spans="1:6" x14ac:dyDescent="0.2">
      <c r="A33" s="2">
        <v>2006</v>
      </c>
      <c r="B33" t="str">
        <v>Biomass Other</v>
      </c>
      <c r="C33" s="11">
        <v>0</v>
      </c>
      <c r="D33" t="str">
        <f ca="1"/>
        <v>Biomass Other</v>
      </c>
      <c r="E33" s="17">
        <f ca="1"/>
        <v>0</v>
      </c>
      <c r="F33">
        <f ca="1"/>
        <v>0</v>
      </c>
    </row>
    <row r="34" spans="1:6" x14ac:dyDescent="0.2">
      <c r="A34" s="2">
        <v>2006</v>
      </c>
      <c r="B34" t="str">
        <v>Biogas</v>
      </c>
      <c r="C34" s="11">
        <v>0</v>
      </c>
      <c r="D34" t="str">
        <f ca="1"/>
        <v>Biogas</v>
      </c>
      <c r="E34" s="17">
        <f ca="1"/>
        <v>0</v>
      </c>
      <c r="F34">
        <f ca="1"/>
        <v>0</v>
      </c>
    </row>
    <row r="35" spans="1:6" x14ac:dyDescent="0.2">
      <c r="A35" s="2">
        <v>2006</v>
      </c>
      <c r="B35" t="str">
        <v>Waste</v>
      </c>
      <c r="C35" s="11">
        <v>0</v>
      </c>
      <c r="D35" t="str">
        <f ca="1"/>
        <v>Waste to Energy</v>
      </c>
      <c r="E35" s="17">
        <f ca="1"/>
        <v>0</v>
      </c>
      <c r="F35">
        <f ca="1"/>
        <v>0</v>
      </c>
    </row>
    <row r="36" spans="1:6" x14ac:dyDescent="0.2">
      <c r="A36" s="2">
        <v>2007</v>
      </c>
      <c r="B36" t="str">
        <v>Coal Subcritical</v>
      </c>
      <c r="C36" s="11">
        <v>12014</v>
      </c>
      <c r="D36" t="str">
        <f ca="1"/>
        <v>Coal Subcritical</v>
      </c>
      <c r="E36" s="17">
        <f ca="1"/>
        <v>12014</v>
      </c>
      <c r="F36">
        <f ca="1"/>
        <v>0</v>
      </c>
    </row>
    <row r="37" spans="1:6" x14ac:dyDescent="0.2">
      <c r="A37" s="2">
        <v>2007</v>
      </c>
      <c r="B37" t="str">
        <v>Coal Supercritical</v>
      </c>
      <c r="C37" s="11">
        <v>0</v>
      </c>
      <c r="D37" t="str">
        <f ca="1"/>
        <v>Coal Supercritical</v>
      </c>
      <c r="E37" s="17">
        <f ca="1"/>
        <v>0</v>
      </c>
      <c r="F37">
        <f ca="1"/>
        <v>0</v>
      </c>
    </row>
    <row r="38" spans="1:6" x14ac:dyDescent="0.2">
      <c r="A38" s="2">
        <v>2007</v>
      </c>
      <c r="B38" t="str">
        <v>Diesel</v>
      </c>
      <c r="C38" s="11">
        <v>3211.91</v>
      </c>
      <c r="D38" t="str">
        <f ca="1"/>
        <v>Diesel Oil</v>
      </c>
      <c r="E38" s="17">
        <f ca="1"/>
        <v>3211.91</v>
      </c>
      <c r="F38">
        <f ca="1"/>
        <v>0</v>
      </c>
    </row>
    <row r="39" spans="1:6" x14ac:dyDescent="0.2">
      <c r="A39" s="2">
        <v>2007</v>
      </c>
      <c r="B39" t="str">
        <v>Gas Turbine</v>
      </c>
      <c r="C39" s="11">
        <v>3220.18</v>
      </c>
      <c r="D39" t="str">
        <f ca="1"/>
        <v>Natural gas based Gas Turbine</v>
      </c>
      <c r="E39" s="17">
        <f ca="1"/>
        <v>3220.1759999999999</v>
      </c>
      <c r="F39">
        <f ca="1"/>
        <v>0</v>
      </c>
    </row>
    <row r="40" spans="1:6" x14ac:dyDescent="0.2">
      <c r="A40" s="2">
        <v>2007</v>
      </c>
      <c r="B40" t="str">
        <v>Gas Engine</v>
      </c>
      <c r="C40" s="11">
        <v>33</v>
      </c>
      <c r="D40" t="str">
        <f ca="1"/>
        <v>Gas Engine</v>
      </c>
      <c r="E40" s="17">
        <f ca="1"/>
        <v>33</v>
      </c>
      <c r="F40">
        <f ca="1"/>
        <v>0</v>
      </c>
    </row>
    <row r="41" spans="1:6" x14ac:dyDescent="0.2">
      <c r="A41" s="2">
        <v>2007</v>
      </c>
      <c r="B41" t="str">
        <v>Gas Combined Cycle</v>
      </c>
      <c r="C41" s="11">
        <v>7699.97</v>
      </c>
      <c r="D41" t="str">
        <f ca="1"/>
        <v>Combined Cycle Gas Turbine</v>
      </c>
      <c r="E41" s="17">
        <f ca="1"/>
        <v>7699.97</v>
      </c>
      <c r="F41">
        <f ca="1"/>
        <v>0</v>
      </c>
    </row>
    <row r="42" spans="1:6" x14ac:dyDescent="0.2">
      <c r="A42" s="2">
        <v>2007</v>
      </c>
      <c r="B42" t="str">
        <v>Large Hydro</v>
      </c>
      <c r="C42" s="11">
        <v>3694.62</v>
      </c>
      <c r="D42" t="str">
        <f ca="1"/>
        <v>Large Hydro</v>
      </c>
      <c r="E42" s="17">
        <f ca="1"/>
        <v>3694.62</v>
      </c>
      <c r="F42">
        <f ca="1"/>
        <v>0</v>
      </c>
    </row>
    <row r="43" spans="1:6" x14ac:dyDescent="0.2">
      <c r="A43" s="2">
        <v>2007</v>
      </c>
      <c r="B43" t="str">
        <v>Small Hydro</v>
      </c>
      <c r="C43" s="11">
        <v>0</v>
      </c>
      <c r="D43" t="str">
        <f ca="1"/>
        <v>Small Hydro</v>
      </c>
      <c r="E43" s="17">
        <f ca="1"/>
        <v>0</v>
      </c>
      <c r="F43">
        <f ca="1"/>
        <v>0</v>
      </c>
    </row>
    <row r="44" spans="1:6" x14ac:dyDescent="0.2">
      <c r="A44" s="2">
        <v>2007</v>
      </c>
      <c r="B44" t="str">
        <v>Geothermal Flash</v>
      </c>
      <c r="C44" s="11">
        <v>980</v>
      </c>
      <c r="D44" t="str">
        <f ca="1"/>
        <v>Geothermal</v>
      </c>
      <c r="E44" s="17">
        <f ca="1"/>
        <v>980</v>
      </c>
      <c r="F44">
        <f ca="1"/>
        <v>0</v>
      </c>
    </row>
    <row r="45" spans="1:6" x14ac:dyDescent="0.2">
      <c r="A45" s="2">
        <v>2007</v>
      </c>
      <c r="B45" t="str">
        <v>Solar PV</v>
      </c>
      <c r="C45" s="11">
        <v>0</v>
      </c>
      <c r="D45" t="str">
        <f ca="1"/>
        <v>Solar PV</v>
      </c>
      <c r="E45" s="17">
        <f ca="1"/>
        <v>0</v>
      </c>
      <c r="F45">
        <f ca="1"/>
        <v>0</v>
      </c>
    </row>
    <row r="46" spans="1:6" x14ac:dyDescent="0.2">
      <c r="A46" s="2">
        <v>2007</v>
      </c>
      <c r="B46" t="str">
        <v>Wind Onshore</v>
      </c>
      <c r="C46" s="11">
        <v>0.1</v>
      </c>
      <c r="D46" t="str">
        <f ca="1"/>
        <v>Wind Turbine</v>
      </c>
      <c r="E46" s="17">
        <f ca="1"/>
        <v>0.1</v>
      </c>
      <c r="F46">
        <f ca="1"/>
        <v>0</v>
      </c>
    </row>
    <row r="47" spans="1:6" x14ac:dyDescent="0.2">
      <c r="A47" s="2">
        <v>2007</v>
      </c>
      <c r="B47" t="str">
        <v>Biomass Other</v>
      </c>
      <c r="C47" s="11">
        <v>0</v>
      </c>
      <c r="D47" t="str">
        <f ca="1"/>
        <v>Biomass Other</v>
      </c>
      <c r="E47" s="17">
        <f ca="1"/>
        <v>0</v>
      </c>
      <c r="F47">
        <f ca="1"/>
        <v>0</v>
      </c>
    </row>
    <row r="48" spans="1:6" x14ac:dyDescent="0.2">
      <c r="A48" s="2">
        <v>2007</v>
      </c>
      <c r="B48" t="str">
        <v>Biogas</v>
      </c>
      <c r="C48" s="11">
        <v>0</v>
      </c>
      <c r="D48" t="str">
        <f ca="1"/>
        <v>Biogas</v>
      </c>
      <c r="E48" s="17">
        <f ca="1"/>
        <v>0</v>
      </c>
      <c r="F48">
        <f ca="1"/>
        <v>0</v>
      </c>
    </row>
    <row r="49" spans="1:6" x14ac:dyDescent="0.2">
      <c r="A49" s="2">
        <v>2007</v>
      </c>
      <c r="B49" t="str">
        <v>Waste</v>
      </c>
      <c r="C49" s="11">
        <v>0</v>
      </c>
      <c r="D49" t="str">
        <f ca="1"/>
        <v>Waste to Energy</v>
      </c>
      <c r="E49" s="17">
        <f ca="1"/>
        <v>0</v>
      </c>
      <c r="F49">
        <f ca="1"/>
        <v>0</v>
      </c>
    </row>
    <row r="50" spans="1:6" x14ac:dyDescent="0.2">
      <c r="A50" s="2">
        <v>2008</v>
      </c>
      <c r="B50" t="str">
        <v>Coal Subcritical</v>
      </c>
      <c r="C50" s="11">
        <v>12294</v>
      </c>
      <c r="D50" t="str">
        <f ca="1"/>
        <v>Coal Subcritical</v>
      </c>
      <c r="E50" s="17">
        <f ca="1"/>
        <v>12294</v>
      </c>
      <c r="F50">
        <f ca="1"/>
        <v>0</v>
      </c>
    </row>
    <row r="51" spans="1:6" x14ac:dyDescent="0.2">
      <c r="A51" s="2">
        <v>2008</v>
      </c>
      <c r="B51" t="str">
        <v>Coal Supercritical</v>
      </c>
      <c r="C51" s="11">
        <v>0</v>
      </c>
      <c r="D51" t="str">
        <f ca="1"/>
        <v>Coal Supercritical</v>
      </c>
      <c r="E51" s="17">
        <f ca="1"/>
        <v>0</v>
      </c>
      <c r="F51">
        <f ca="1"/>
        <v>0</v>
      </c>
    </row>
    <row r="52" spans="1:6" x14ac:dyDescent="0.2">
      <c r="A52" s="2">
        <v>2008</v>
      </c>
      <c r="B52" t="str">
        <v>Diesel</v>
      </c>
      <c r="C52" s="11">
        <v>3272.98</v>
      </c>
      <c r="D52" t="str">
        <f ca="1"/>
        <v>Diesel Oil</v>
      </c>
      <c r="E52" s="17">
        <f ca="1"/>
        <v>3272.98</v>
      </c>
      <c r="F52">
        <f ca="1"/>
        <v>0</v>
      </c>
    </row>
    <row r="53" spans="1:6" x14ac:dyDescent="0.2">
      <c r="A53" s="2">
        <v>2008</v>
      </c>
      <c r="B53" t="str">
        <v>Gas Turbine</v>
      </c>
      <c r="C53" s="11">
        <v>3068.97</v>
      </c>
      <c r="D53" t="str">
        <f ca="1"/>
        <v>Natural gas based Gas Turbine</v>
      </c>
      <c r="E53" s="17">
        <f ca="1"/>
        <v>3068.973</v>
      </c>
      <c r="F53">
        <f ca="1"/>
        <v>0</v>
      </c>
    </row>
    <row r="54" spans="1:6" x14ac:dyDescent="0.2">
      <c r="A54" s="2">
        <v>2008</v>
      </c>
      <c r="B54" t="str">
        <v>Gas Engine</v>
      </c>
      <c r="C54" s="11">
        <v>66.84</v>
      </c>
      <c r="D54" t="str">
        <f ca="1"/>
        <v>Gas Engine</v>
      </c>
      <c r="E54" s="17">
        <f ca="1"/>
        <v>66.84</v>
      </c>
      <c r="F54">
        <f ca="1"/>
        <v>0</v>
      </c>
    </row>
    <row r="55" spans="1:6" x14ac:dyDescent="0.2">
      <c r="A55" s="2">
        <v>2008</v>
      </c>
      <c r="B55" t="str">
        <v>Gas Combined Cycle</v>
      </c>
      <c r="C55" s="11">
        <v>8009.97</v>
      </c>
      <c r="D55" t="str">
        <f ca="1"/>
        <v>Combined Cycle Gas Turbine</v>
      </c>
      <c r="E55" s="17">
        <f ca="1"/>
        <v>8009.97</v>
      </c>
      <c r="F55">
        <f ca="1"/>
        <v>0</v>
      </c>
    </row>
    <row r="56" spans="1:6" x14ac:dyDescent="0.2">
      <c r="A56" s="2">
        <v>2008</v>
      </c>
      <c r="B56" t="str">
        <v>Large Hydro</v>
      </c>
      <c r="C56" s="11">
        <v>3697.52</v>
      </c>
      <c r="D56" t="str">
        <f ca="1"/>
        <v>Large Hydro</v>
      </c>
      <c r="E56" s="17">
        <f ca="1"/>
        <v>3697.52</v>
      </c>
      <c r="F56">
        <f ca="1"/>
        <v>0</v>
      </c>
    </row>
    <row r="57" spans="1:6" x14ac:dyDescent="0.2">
      <c r="A57" s="2">
        <v>2008</v>
      </c>
      <c r="B57" t="str">
        <v>Small Hydro</v>
      </c>
      <c r="C57" s="11">
        <v>0</v>
      </c>
      <c r="D57" t="str">
        <f ca="1"/>
        <v>Small Hydro</v>
      </c>
      <c r="E57" s="17">
        <f ca="1"/>
        <v>0</v>
      </c>
      <c r="F57">
        <f ca="1"/>
        <v>0</v>
      </c>
    </row>
    <row r="58" spans="1:6" x14ac:dyDescent="0.2">
      <c r="A58" s="2">
        <v>2008</v>
      </c>
      <c r="B58" t="str">
        <v>Geothermal Flash</v>
      </c>
      <c r="C58" s="11">
        <v>1052</v>
      </c>
      <c r="D58" t="str">
        <f ca="1"/>
        <v>Geothermal</v>
      </c>
      <c r="E58" s="17">
        <f ca="1"/>
        <v>1052</v>
      </c>
      <c r="F58">
        <f ca="1"/>
        <v>0</v>
      </c>
    </row>
    <row r="59" spans="1:6" x14ac:dyDescent="0.2">
      <c r="A59" s="2">
        <v>2008</v>
      </c>
      <c r="B59" t="str">
        <v>Solar PV</v>
      </c>
      <c r="C59" s="11">
        <v>0</v>
      </c>
      <c r="D59" t="str">
        <f ca="1"/>
        <v>Solar PV</v>
      </c>
      <c r="E59" s="17">
        <f ca="1"/>
        <v>0</v>
      </c>
      <c r="F59">
        <f ca="1"/>
        <v>0</v>
      </c>
    </row>
    <row r="60" spans="1:6" x14ac:dyDescent="0.2">
      <c r="A60" s="2">
        <v>2008</v>
      </c>
      <c r="B60" t="str">
        <v>Wind Onshore</v>
      </c>
      <c r="C60" s="11">
        <v>0.26</v>
      </c>
      <c r="D60" t="str">
        <f ca="1"/>
        <v>Wind Turbine</v>
      </c>
      <c r="E60" s="17">
        <f ca="1"/>
        <v>0.26</v>
      </c>
      <c r="F60">
        <f ca="1"/>
        <v>0</v>
      </c>
    </row>
    <row r="61" spans="1:6" x14ac:dyDescent="0.2">
      <c r="A61" s="2">
        <v>2008</v>
      </c>
      <c r="B61" t="str">
        <v>Biomass Other</v>
      </c>
      <c r="C61" s="11">
        <v>0</v>
      </c>
      <c r="D61" t="str">
        <f ca="1"/>
        <v>Biomass Other</v>
      </c>
      <c r="E61" s="17">
        <f ca="1"/>
        <v>0</v>
      </c>
      <c r="F61">
        <f ca="1"/>
        <v>0</v>
      </c>
    </row>
    <row r="62" spans="1:6" x14ac:dyDescent="0.2">
      <c r="A62" s="2">
        <v>2008</v>
      </c>
      <c r="B62" t="str">
        <v>Biogas</v>
      </c>
      <c r="C62" s="11">
        <v>0</v>
      </c>
      <c r="D62" t="str">
        <f ca="1"/>
        <v>Biogas</v>
      </c>
      <c r="E62" s="17">
        <f ca="1"/>
        <v>0</v>
      </c>
      <c r="F62">
        <f ca="1"/>
        <v>0</v>
      </c>
    </row>
    <row r="63" spans="1:6" x14ac:dyDescent="0.2">
      <c r="A63" s="2">
        <v>2008</v>
      </c>
      <c r="B63" t="str">
        <v>Waste</v>
      </c>
      <c r="C63" s="11">
        <v>0</v>
      </c>
      <c r="D63" t="str">
        <f ca="1"/>
        <v>Waste to Energy</v>
      </c>
      <c r="E63" s="17">
        <f ca="1"/>
        <v>0</v>
      </c>
      <c r="F63">
        <f ca="1"/>
        <v>0</v>
      </c>
    </row>
    <row r="64" spans="1:6" x14ac:dyDescent="0.2">
      <c r="A64" s="2">
        <v>2009</v>
      </c>
      <c r="B64" t="str">
        <v>Coal Subcritical</v>
      </c>
      <c r="C64" s="11">
        <v>12594</v>
      </c>
      <c r="D64" t="str">
        <f ca="1"/>
        <v>Coal Subcritical</v>
      </c>
      <c r="E64" s="17">
        <f ca="1"/>
        <v>12594</v>
      </c>
      <c r="F64">
        <f ca="1"/>
        <v>0</v>
      </c>
    </row>
    <row r="65" spans="1:6" x14ac:dyDescent="0.2">
      <c r="A65" s="2">
        <v>2009</v>
      </c>
      <c r="B65" t="str">
        <v>Coal Supercritical</v>
      </c>
      <c r="C65" s="11">
        <v>0</v>
      </c>
      <c r="D65" t="str">
        <f ca="1"/>
        <v>Coal Supercritical</v>
      </c>
      <c r="E65" s="17">
        <f ca="1"/>
        <v>0</v>
      </c>
      <c r="F65">
        <f ca="1"/>
        <v>0</v>
      </c>
    </row>
    <row r="66" spans="1:6" x14ac:dyDescent="0.2">
      <c r="A66" s="2">
        <v>2009</v>
      </c>
      <c r="B66" t="str">
        <v>Diesel</v>
      </c>
      <c r="C66" s="11">
        <v>3256.36</v>
      </c>
      <c r="D66" t="str">
        <f ca="1"/>
        <v>Diesel Oil</v>
      </c>
      <c r="E66" s="17">
        <f ca="1"/>
        <v>3256.36</v>
      </c>
      <c r="F66">
        <f ca="1"/>
        <v>0</v>
      </c>
    </row>
    <row r="67" spans="1:6" x14ac:dyDescent="0.2">
      <c r="A67" s="2">
        <v>2009</v>
      </c>
      <c r="B67" t="str">
        <v>Gas Turbine</v>
      </c>
      <c r="C67" s="11">
        <v>3135.88</v>
      </c>
      <c r="D67" t="str">
        <f ca="1"/>
        <v>Natural gas based Gas Turbine</v>
      </c>
      <c r="E67" s="17">
        <f ca="1"/>
        <v>3135.877</v>
      </c>
      <c r="F67">
        <f ca="1"/>
        <v>0</v>
      </c>
    </row>
    <row r="68" spans="1:6" x14ac:dyDescent="0.2">
      <c r="A68" s="2">
        <v>2009</v>
      </c>
      <c r="B68" t="str">
        <v>Gas Engine</v>
      </c>
      <c r="C68" s="11">
        <v>71</v>
      </c>
      <c r="D68" t="str">
        <f ca="1"/>
        <v>Gas Engine</v>
      </c>
      <c r="E68" s="17">
        <f ca="1"/>
        <v>71</v>
      </c>
      <c r="F68">
        <f ca="1"/>
        <v>0</v>
      </c>
    </row>
    <row r="69" spans="1:6" x14ac:dyDescent="0.2">
      <c r="A69" s="2">
        <v>2009</v>
      </c>
      <c r="B69" t="str">
        <v>Gas Combined Cycle</v>
      </c>
      <c r="C69" s="11">
        <v>8009.97</v>
      </c>
      <c r="D69" t="str">
        <f ca="1"/>
        <v>Combined Cycle Gas Turbine</v>
      </c>
      <c r="E69" s="17">
        <f ca="1"/>
        <v>8009.97</v>
      </c>
      <c r="F69">
        <f ca="1"/>
        <v>0</v>
      </c>
    </row>
    <row r="70" spans="1:6" x14ac:dyDescent="0.2">
      <c r="A70" s="2">
        <v>2009</v>
      </c>
      <c r="B70" t="str">
        <v>Large Hydro</v>
      </c>
      <c r="C70" s="11">
        <v>3701.67</v>
      </c>
      <c r="D70" t="str">
        <f ca="1"/>
        <v>Large Hydro</v>
      </c>
      <c r="E70" s="17">
        <f ca="1"/>
        <v>3701.67</v>
      </c>
      <c r="F70">
        <f ca="1"/>
        <v>0</v>
      </c>
    </row>
    <row r="71" spans="1:6" x14ac:dyDescent="0.2">
      <c r="A71" s="2">
        <v>2009</v>
      </c>
      <c r="B71" t="str">
        <v>Small Hydro</v>
      </c>
      <c r="C71" s="11">
        <v>0</v>
      </c>
      <c r="D71" t="str">
        <f ca="1"/>
        <v>Small Hydro</v>
      </c>
      <c r="E71" s="17">
        <f ca="1"/>
        <v>0</v>
      </c>
      <c r="F71">
        <f ca="1"/>
        <v>0</v>
      </c>
    </row>
    <row r="72" spans="1:6" x14ac:dyDescent="0.2">
      <c r="A72" s="2">
        <v>2009</v>
      </c>
      <c r="B72" t="str">
        <v>Geothermal Flash</v>
      </c>
      <c r="C72" s="11">
        <v>1189</v>
      </c>
      <c r="D72" t="str">
        <f ca="1"/>
        <v>Geothermal</v>
      </c>
      <c r="E72" s="17">
        <f ca="1"/>
        <v>1189</v>
      </c>
      <c r="F72">
        <f ca="1"/>
        <v>0</v>
      </c>
    </row>
    <row r="73" spans="1:6" x14ac:dyDescent="0.2">
      <c r="A73" s="2">
        <v>2009</v>
      </c>
      <c r="B73" t="str">
        <v>Solar PV</v>
      </c>
      <c r="C73" s="11">
        <v>0</v>
      </c>
      <c r="D73" t="str">
        <f ca="1"/>
        <v>Solar PV</v>
      </c>
      <c r="E73" s="17">
        <f ca="1"/>
        <v>0</v>
      </c>
      <c r="F73">
        <f ca="1"/>
        <v>0</v>
      </c>
    </row>
    <row r="74" spans="1:6" x14ac:dyDescent="0.2">
      <c r="A74" s="2">
        <v>2009</v>
      </c>
      <c r="B74" t="str">
        <v>Wind Onshore</v>
      </c>
      <c r="C74" s="11">
        <v>1.06</v>
      </c>
      <c r="D74" t="str">
        <f ca="1"/>
        <v>Wind Turbine</v>
      </c>
      <c r="E74" s="17">
        <f ca="1"/>
        <v>1.06</v>
      </c>
      <c r="F74">
        <f ca="1"/>
        <v>0</v>
      </c>
    </row>
    <row r="75" spans="1:6" x14ac:dyDescent="0.2">
      <c r="A75" s="2">
        <v>2009</v>
      </c>
      <c r="B75" t="str">
        <v>Biomass Other</v>
      </c>
      <c r="C75" s="11">
        <v>0</v>
      </c>
      <c r="D75" t="str">
        <f ca="1"/>
        <v>Biomass Other</v>
      </c>
      <c r="E75" s="17">
        <f ca="1"/>
        <v>0</v>
      </c>
      <c r="F75">
        <f ca="1"/>
        <v>0</v>
      </c>
    </row>
    <row r="76" spans="1:6" x14ac:dyDescent="0.2">
      <c r="A76" s="2">
        <v>2009</v>
      </c>
      <c r="B76" t="str">
        <v>Biogas</v>
      </c>
      <c r="C76" s="11">
        <v>0</v>
      </c>
      <c r="D76" t="str">
        <f ca="1"/>
        <v>Biogas</v>
      </c>
      <c r="E76" s="17">
        <f ca="1"/>
        <v>0</v>
      </c>
      <c r="F76">
        <f ca="1"/>
        <v>0</v>
      </c>
    </row>
    <row r="77" spans="1:6" x14ac:dyDescent="0.2">
      <c r="A77" s="2">
        <v>2009</v>
      </c>
      <c r="B77" t="str">
        <v>Waste</v>
      </c>
      <c r="C77" s="11">
        <v>0</v>
      </c>
      <c r="D77" t="str">
        <f ca="1"/>
        <v>Waste to Energy</v>
      </c>
      <c r="E77" s="17">
        <f ca="1"/>
        <v>0</v>
      </c>
      <c r="F77">
        <f ca="1"/>
        <v>0</v>
      </c>
    </row>
    <row r="78" spans="1:6" x14ac:dyDescent="0.2">
      <c r="A78" s="2">
        <v>2010</v>
      </c>
      <c r="B78" t="str">
        <v>Coal Subcritical</v>
      </c>
      <c r="C78" s="11">
        <v>12981.5</v>
      </c>
      <c r="D78" t="str">
        <f ca="1"/>
        <v>Coal Subcritical</v>
      </c>
      <c r="E78" s="17">
        <f ca="1"/>
        <v>12981.5</v>
      </c>
      <c r="F78">
        <f ca="1"/>
        <v>0</v>
      </c>
    </row>
    <row r="79" spans="1:6" x14ac:dyDescent="0.2">
      <c r="A79" s="2">
        <v>2010</v>
      </c>
      <c r="B79" t="str">
        <v>Coal Supercritical</v>
      </c>
      <c r="C79" s="11">
        <v>0</v>
      </c>
      <c r="D79" t="str">
        <f ca="1"/>
        <v>Coal Supercritical</v>
      </c>
      <c r="E79" s="17">
        <f ca="1"/>
        <v>0</v>
      </c>
      <c r="F79">
        <f ca="1"/>
        <v>0</v>
      </c>
    </row>
    <row r="80" spans="1:6" x14ac:dyDescent="0.2">
      <c r="A80" s="2">
        <v>2010</v>
      </c>
      <c r="B80" t="str">
        <v>Diesel</v>
      </c>
      <c r="C80" s="11">
        <v>4569.8900000000003</v>
      </c>
      <c r="D80" t="str">
        <f ca="1"/>
        <v>Diesel Oil</v>
      </c>
      <c r="E80" s="17">
        <f ca="1"/>
        <v>4569.8900000000003</v>
      </c>
      <c r="F80">
        <f ca="1"/>
        <v>0</v>
      </c>
    </row>
    <row r="81" spans="1:6" x14ac:dyDescent="0.2">
      <c r="A81" s="2">
        <v>2010</v>
      </c>
      <c r="B81" t="str">
        <v>Gas Turbine</v>
      </c>
      <c r="C81" s="11">
        <v>3821.57</v>
      </c>
      <c r="D81" t="str">
        <f ca="1"/>
        <v>Natural gas based Gas Turbine</v>
      </c>
      <c r="E81" s="17">
        <f ca="1"/>
        <v>3821.567</v>
      </c>
      <c r="F81">
        <f ca="1"/>
        <v>0</v>
      </c>
    </row>
    <row r="82" spans="1:6" x14ac:dyDescent="0.2">
      <c r="A82" s="2">
        <v>2010</v>
      </c>
      <c r="B82" t="str">
        <v>Gas Engine</v>
      </c>
      <c r="C82" s="11">
        <v>92.84</v>
      </c>
      <c r="D82" t="str">
        <f ca="1"/>
        <v>Gas Engine</v>
      </c>
      <c r="E82" s="17">
        <f ca="1"/>
        <v>92.84</v>
      </c>
      <c r="F82">
        <f ca="1"/>
        <v>0</v>
      </c>
    </row>
    <row r="83" spans="1:6" x14ac:dyDescent="0.2">
      <c r="A83" s="2">
        <v>2010</v>
      </c>
      <c r="B83" t="str">
        <v>Gas Combined Cycle</v>
      </c>
      <c r="C83" s="11">
        <v>7590.32</v>
      </c>
      <c r="D83" t="str">
        <f ca="1"/>
        <v>Combined Cycle Gas Turbine</v>
      </c>
      <c r="E83" s="17">
        <f ca="1"/>
        <v>7590.32</v>
      </c>
      <c r="F83">
        <f ca="1"/>
        <v>0</v>
      </c>
    </row>
    <row r="84" spans="1:6" x14ac:dyDescent="0.2">
      <c r="A84" s="2">
        <v>2010</v>
      </c>
      <c r="B84" t="str">
        <v>Large Hydro</v>
      </c>
      <c r="C84" s="11">
        <v>3733.91</v>
      </c>
      <c r="D84" t="str">
        <f ca="1"/>
        <v>Large Hydro</v>
      </c>
      <c r="E84" s="17">
        <f ca="1"/>
        <v>3733.91</v>
      </c>
      <c r="F84">
        <f ca="1"/>
        <v>0</v>
      </c>
    </row>
    <row r="85" spans="1:6" x14ac:dyDescent="0.2">
      <c r="A85" s="2">
        <v>2010</v>
      </c>
      <c r="B85" t="str">
        <v>Small Hydro</v>
      </c>
      <c r="C85" s="11">
        <v>0</v>
      </c>
      <c r="D85" t="str">
        <f ca="1"/>
        <v>Small Hydro</v>
      </c>
      <c r="E85" s="17">
        <f ca="1"/>
        <v>0</v>
      </c>
      <c r="F85">
        <f ca="1"/>
        <v>0</v>
      </c>
    </row>
    <row r="86" spans="1:6" x14ac:dyDescent="0.2">
      <c r="A86" s="2">
        <v>2010</v>
      </c>
      <c r="B86" t="str">
        <v>Geothermal Flash</v>
      </c>
      <c r="C86" s="11">
        <v>1189</v>
      </c>
      <c r="D86" t="str">
        <f ca="1"/>
        <v>Geothermal</v>
      </c>
      <c r="E86" s="17">
        <f ca="1"/>
        <v>1189</v>
      </c>
      <c r="F86">
        <f ca="1"/>
        <v>0</v>
      </c>
    </row>
    <row r="87" spans="1:6" x14ac:dyDescent="0.2">
      <c r="A87" s="2">
        <v>2010</v>
      </c>
      <c r="B87" t="str">
        <v>Solar PV</v>
      </c>
      <c r="C87" s="11">
        <v>0.19</v>
      </c>
      <c r="D87" t="str">
        <f ca="1"/>
        <v>Solar PV</v>
      </c>
      <c r="E87" s="17">
        <f ca="1"/>
        <v>0.19</v>
      </c>
      <c r="F87">
        <f ca="1"/>
        <v>0</v>
      </c>
    </row>
    <row r="88" spans="1:6" x14ac:dyDescent="0.2">
      <c r="A88" s="2">
        <v>2010</v>
      </c>
      <c r="B88" t="str">
        <v>Wind Onshore</v>
      </c>
      <c r="C88" s="11">
        <v>0.34</v>
      </c>
      <c r="D88" t="str">
        <f ca="1"/>
        <v>Wind Turbine</v>
      </c>
      <c r="E88" s="17">
        <f ca="1"/>
        <v>0.34</v>
      </c>
      <c r="F88">
        <f ca="1"/>
        <v>0</v>
      </c>
    </row>
    <row r="89" spans="1:6" x14ac:dyDescent="0.2">
      <c r="A89" s="2">
        <v>2010</v>
      </c>
      <c r="B89" t="str">
        <v>Biomass Other</v>
      </c>
      <c r="C89" s="11">
        <v>0</v>
      </c>
      <c r="D89" t="str">
        <f ca="1"/>
        <v>Biomass Other</v>
      </c>
      <c r="E89" s="17">
        <f ca="1"/>
        <v>0</v>
      </c>
      <c r="F89">
        <f ca="1"/>
        <v>0</v>
      </c>
    </row>
    <row r="90" spans="1:6" x14ac:dyDescent="0.2">
      <c r="A90" s="2">
        <v>2010</v>
      </c>
      <c r="B90" t="str">
        <v>Biogas</v>
      </c>
      <c r="C90" s="11">
        <v>0</v>
      </c>
      <c r="D90" t="str">
        <f ca="1"/>
        <v>Biogas</v>
      </c>
      <c r="E90" s="17">
        <f ca="1"/>
        <v>0</v>
      </c>
      <c r="F90">
        <f ca="1"/>
        <v>0</v>
      </c>
    </row>
    <row r="91" spans="1:6" x14ac:dyDescent="0.2">
      <c r="A91" s="2">
        <v>2010</v>
      </c>
      <c r="B91" t="str">
        <v>Waste</v>
      </c>
      <c r="C91" s="11">
        <v>0</v>
      </c>
      <c r="D91" t="str">
        <f ca="1"/>
        <v>Waste to Energy</v>
      </c>
      <c r="E91" s="17">
        <f ca="1"/>
        <v>0</v>
      </c>
      <c r="F91">
        <f ca="1"/>
        <v>0</v>
      </c>
    </row>
    <row r="92" spans="1:6" x14ac:dyDescent="0.2">
      <c r="A92" s="2">
        <v>2011</v>
      </c>
      <c r="B92" t="str">
        <v>Coal Subcritical</v>
      </c>
      <c r="C92" s="11">
        <v>16359</v>
      </c>
      <c r="D92" t="str">
        <f ca="1"/>
        <v>Coal Subcritical</v>
      </c>
      <c r="E92" s="17">
        <f ca="1"/>
        <v>16359</v>
      </c>
      <c r="F92">
        <f ca="1"/>
        <v>0</v>
      </c>
    </row>
    <row r="93" spans="1:6" x14ac:dyDescent="0.2">
      <c r="A93" s="2">
        <v>2011</v>
      </c>
      <c r="B93" t="str">
        <v>Coal Supercritical</v>
      </c>
      <c r="C93" s="11">
        <v>0</v>
      </c>
      <c r="D93" t="str">
        <f ca="1"/>
        <v>Coal Supercritical</v>
      </c>
      <c r="E93" s="17">
        <f ca="1"/>
        <v>0</v>
      </c>
      <c r="F93">
        <f ca="1"/>
        <v>0</v>
      </c>
    </row>
    <row r="94" spans="1:6" x14ac:dyDescent="0.2">
      <c r="A94" s="2">
        <v>2011</v>
      </c>
      <c r="B94" t="str">
        <v>Diesel</v>
      </c>
      <c r="C94" s="11">
        <v>5471.93</v>
      </c>
      <c r="D94" t="str">
        <f ca="1"/>
        <v>Diesel Oil</v>
      </c>
      <c r="E94" s="17">
        <f ca="1"/>
        <v>5471.93</v>
      </c>
      <c r="F94">
        <f ca="1"/>
        <v>0</v>
      </c>
    </row>
    <row r="95" spans="1:6" x14ac:dyDescent="0.2">
      <c r="A95" s="2">
        <v>2011</v>
      </c>
      <c r="B95" t="str">
        <v>Gas Turbine</v>
      </c>
      <c r="C95" s="11">
        <v>4236.0200000000004</v>
      </c>
      <c r="D95" t="str">
        <f ca="1"/>
        <v>Natural gas based Gas Turbine</v>
      </c>
      <c r="E95" s="17">
        <f ca="1"/>
        <v>4236.0209999999997</v>
      </c>
      <c r="F95">
        <f ca="1"/>
        <v>0</v>
      </c>
    </row>
    <row r="96" spans="1:6" x14ac:dyDescent="0.2">
      <c r="A96" s="2">
        <v>2011</v>
      </c>
      <c r="B96" t="str">
        <v>Gas Engine</v>
      </c>
      <c r="C96" s="11">
        <v>169.54</v>
      </c>
      <c r="D96" t="str">
        <f ca="1"/>
        <v>Gas Engine</v>
      </c>
      <c r="E96" s="17">
        <f ca="1"/>
        <v>169.54</v>
      </c>
      <c r="F96">
        <f ca="1"/>
        <v>0</v>
      </c>
    </row>
    <row r="97" spans="1:6" x14ac:dyDescent="0.2">
      <c r="A97" s="2">
        <v>2011</v>
      </c>
      <c r="B97" t="str">
        <v>Gas Combined Cycle</v>
      </c>
      <c r="C97" s="11">
        <v>8480.9699999999993</v>
      </c>
      <c r="D97" t="str">
        <f ca="1"/>
        <v>Combined Cycle Gas Turbine</v>
      </c>
      <c r="E97" s="17">
        <f ca="1"/>
        <v>8480.9699999999993</v>
      </c>
      <c r="F97">
        <f ca="1"/>
        <v>0</v>
      </c>
    </row>
    <row r="98" spans="1:6" x14ac:dyDescent="0.2">
      <c r="A98" s="2">
        <v>2011</v>
      </c>
      <c r="B98" t="str">
        <v>Large Hydro</v>
      </c>
      <c r="C98" s="11">
        <v>3944.42</v>
      </c>
      <c r="D98" t="str">
        <f ca="1"/>
        <v>Large Hydro</v>
      </c>
      <c r="E98" s="17">
        <f ca="1"/>
        <v>3944.42</v>
      </c>
      <c r="F98">
        <f ca="1"/>
        <v>0</v>
      </c>
    </row>
    <row r="99" spans="1:6" x14ac:dyDescent="0.2">
      <c r="A99" s="2">
        <v>2011</v>
      </c>
      <c r="B99" t="str">
        <v>Small Hydro</v>
      </c>
      <c r="C99" s="11">
        <v>0</v>
      </c>
      <c r="D99" t="str">
        <f ca="1"/>
        <v>Small Hydro</v>
      </c>
      <c r="E99" s="17">
        <f ca="1"/>
        <v>0</v>
      </c>
      <c r="F99">
        <f ca="1"/>
        <v>0</v>
      </c>
    </row>
    <row r="100" spans="1:6" x14ac:dyDescent="0.2">
      <c r="A100" s="2">
        <v>2011</v>
      </c>
      <c r="B100" t="str">
        <v>Geothermal Flash</v>
      </c>
      <c r="C100" s="11">
        <v>1226</v>
      </c>
      <c r="D100" t="str">
        <f ca="1"/>
        <v>Geothermal</v>
      </c>
      <c r="E100" s="17">
        <f ca="1"/>
        <v>1226</v>
      </c>
      <c r="F100">
        <f ca="1"/>
        <v>0</v>
      </c>
    </row>
    <row r="101" spans="1:6" x14ac:dyDescent="0.2">
      <c r="A101" s="2">
        <v>2011</v>
      </c>
      <c r="B101" t="str">
        <v>Solar PV</v>
      </c>
      <c r="C101" s="11">
        <v>1.2</v>
      </c>
      <c r="D101" t="str">
        <f ca="1"/>
        <v>Solar PV</v>
      </c>
      <c r="E101" s="17">
        <f ca="1"/>
        <v>1.2</v>
      </c>
      <c r="F101">
        <f ca="1"/>
        <v>0</v>
      </c>
    </row>
    <row r="102" spans="1:6" x14ac:dyDescent="0.2">
      <c r="A102" s="2">
        <v>2011</v>
      </c>
      <c r="B102" t="str">
        <v>Wind Onshore</v>
      </c>
      <c r="C102" s="11">
        <v>0.93</v>
      </c>
      <c r="D102" t="str">
        <f ca="1"/>
        <v>Wind Turbine</v>
      </c>
      <c r="E102" s="17">
        <f ca="1"/>
        <v>0.93</v>
      </c>
      <c r="F102">
        <f ca="1"/>
        <v>0</v>
      </c>
    </row>
    <row r="103" spans="1:6" x14ac:dyDescent="0.2">
      <c r="A103" s="2">
        <v>2011</v>
      </c>
      <c r="B103" t="str">
        <v>Biomass Other</v>
      </c>
      <c r="C103" s="11">
        <v>0</v>
      </c>
      <c r="D103" t="str">
        <f ca="1"/>
        <v>Biomass Other</v>
      </c>
      <c r="E103" s="17">
        <f ca="1"/>
        <v>0</v>
      </c>
      <c r="F103">
        <f ca="1"/>
        <v>0</v>
      </c>
    </row>
    <row r="104" spans="1:6" x14ac:dyDescent="0.2">
      <c r="A104" s="2">
        <v>2011</v>
      </c>
      <c r="B104" t="str">
        <v>Biogas</v>
      </c>
      <c r="C104" s="11">
        <v>0</v>
      </c>
      <c r="D104" t="str">
        <f ca="1"/>
        <v>Biogas</v>
      </c>
      <c r="E104" s="17">
        <f ca="1"/>
        <v>0</v>
      </c>
      <c r="F104">
        <f ca="1"/>
        <v>0</v>
      </c>
    </row>
    <row r="105" spans="1:6" x14ac:dyDescent="0.2">
      <c r="A105" s="2">
        <v>2011</v>
      </c>
      <c r="B105" t="str">
        <v>Waste</v>
      </c>
      <c r="C105" s="11">
        <v>26</v>
      </c>
      <c r="D105" t="str">
        <f ca="1"/>
        <v>Waste to Energy</v>
      </c>
      <c r="E105" s="17">
        <f ca="1"/>
        <v>26</v>
      </c>
      <c r="F105">
        <f ca="1"/>
        <v>0</v>
      </c>
    </row>
    <row r="106" spans="1:6" x14ac:dyDescent="0.2">
      <c r="A106" s="2">
        <v>2012</v>
      </c>
      <c r="B106" t="str">
        <v>Coal Subcritical</v>
      </c>
      <c r="C106" s="11">
        <v>16805</v>
      </c>
      <c r="D106" t="str">
        <f ca="1"/>
        <v>Coal Subcritical</v>
      </c>
      <c r="E106" s="17">
        <f ca="1"/>
        <v>16805</v>
      </c>
      <c r="F106">
        <f ca="1"/>
        <v>0</v>
      </c>
    </row>
    <row r="107" spans="1:6" x14ac:dyDescent="0.2">
      <c r="A107" s="2">
        <v>2012</v>
      </c>
      <c r="B107" t="str">
        <v>Coal Supercritical</v>
      </c>
      <c r="C107" s="11">
        <v>1475</v>
      </c>
      <c r="D107" t="str">
        <f ca="1"/>
        <v>Coal Supercritical</v>
      </c>
      <c r="E107" s="17">
        <f ca="1"/>
        <v>1475</v>
      </c>
      <c r="F107">
        <f ca="1"/>
        <v>0</v>
      </c>
    </row>
    <row r="108" spans="1:6" x14ac:dyDescent="0.2">
      <c r="A108" s="2">
        <v>2012</v>
      </c>
      <c r="B108" t="str">
        <v>Diesel</v>
      </c>
      <c r="C108" s="11">
        <v>5973.58</v>
      </c>
      <c r="D108" t="str">
        <f ca="1"/>
        <v>Diesel Oil</v>
      </c>
      <c r="E108" s="17">
        <f ca="1"/>
        <v>5973.58</v>
      </c>
      <c r="F108">
        <f ca="1"/>
        <v>0</v>
      </c>
    </row>
    <row r="109" spans="1:6" x14ac:dyDescent="0.2">
      <c r="A109" s="2">
        <v>2012</v>
      </c>
      <c r="B109" t="str">
        <v>Gas Turbine</v>
      </c>
      <c r="C109" s="11">
        <v>4343.82</v>
      </c>
      <c r="D109" t="str">
        <f ca="1"/>
        <v>Natural gas based Gas Turbine</v>
      </c>
      <c r="E109" s="17">
        <f ca="1"/>
        <v>4343.8209999999999</v>
      </c>
      <c r="F109">
        <f ca="1"/>
        <v>0</v>
      </c>
    </row>
    <row r="110" spans="1:6" x14ac:dyDescent="0.2">
      <c r="A110" s="2">
        <v>2012</v>
      </c>
      <c r="B110" t="str">
        <v>Gas Engine</v>
      </c>
      <c r="C110" s="11">
        <v>198.74</v>
      </c>
      <c r="D110" t="str">
        <f ca="1"/>
        <v>Gas Engine</v>
      </c>
      <c r="E110" s="17">
        <f ca="1"/>
        <v>198.74</v>
      </c>
      <c r="F110">
        <f ca="1"/>
        <v>0</v>
      </c>
    </row>
    <row r="111" spans="1:6" x14ac:dyDescent="0.2">
      <c r="A111" s="2">
        <v>2012</v>
      </c>
      <c r="B111" t="str">
        <v>Gas Combined Cycle</v>
      </c>
      <c r="C111" s="11">
        <v>9461.11</v>
      </c>
      <c r="D111" t="str">
        <f ca="1"/>
        <v>Combined Cycle Gas Turbine</v>
      </c>
      <c r="E111" s="17">
        <f ca="1"/>
        <v>9461.11</v>
      </c>
      <c r="F111">
        <f ca="1"/>
        <v>0</v>
      </c>
    </row>
    <row r="112" spans="1:6" x14ac:dyDescent="0.2">
      <c r="A112" s="2">
        <v>2012</v>
      </c>
      <c r="B112" t="str">
        <v>Large Hydro</v>
      </c>
      <c r="C112" s="11">
        <v>4146.41</v>
      </c>
      <c r="D112" t="str">
        <f ca="1"/>
        <v>Large Hydro</v>
      </c>
      <c r="E112" s="17">
        <f ca="1"/>
        <v>4146.41</v>
      </c>
      <c r="F112">
        <f ca="1"/>
        <v>0</v>
      </c>
    </row>
    <row r="113" spans="1:6" x14ac:dyDescent="0.2">
      <c r="A113" s="2">
        <v>2012</v>
      </c>
      <c r="B113" t="str">
        <v>Small Hydro</v>
      </c>
      <c r="C113" s="11">
        <v>0</v>
      </c>
      <c r="D113" t="str">
        <f ca="1"/>
        <v>Small Hydro</v>
      </c>
      <c r="E113" s="17">
        <f ca="1"/>
        <v>0</v>
      </c>
      <c r="F113">
        <f ca="1"/>
        <v>0</v>
      </c>
    </row>
    <row r="114" spans="1:6" x14ac:dyDescent="0.2">
      <c r="A114" s="2">
        <v>2012</v>
      </c>
      <c r="B114" t="str">
        <v>Geothermal Flash</v>
      </c>
      <c r="C114" s="11">
        <v>1336</v>
      </c>
      <c r="D114" t="str">
        <f ca="1"/>
        <v>Geothermal</v>
      </c>
      <c r="E114" s="17">
        <f ca="1"/>
        <v>1336</v>
      </c>
      <c r="F114">
        <f ca="1"/>
        <v>0</v>
      </c>
    </row>
    <row r="115" spans="1:6" x14ac:dyDescent="0.2">
      <c r="A115" s="2">
        <v>2012</v>
      </c>
      <c r="B115" t="str">
        <v>Solar PV</v>
      </c>
      <c r="C115" s="11">
        <v>4.0999999999999996</v>
      </c>
      <c r="D115" t="str">
        <f ca="1"/>
        <v>Solar PV</v>
      </c>
      <c r="E115" s="17">
        <f ca="1"/>
        <v>4.0999999999999996</v>
      </c>
      <c r="F115">
        <f ca="1"/>
        <v>0</v>
      </c>
    </row>
    <row r="116" spans="1:6" x14ac:dyDescent="0.2">
      <c r="A116" s="2">
        <v>2012</v>
      </c>
      <c r="B116" t="str">
        <v>Wind Onshore</v>
      </c>
      <c r="C116" s="11">
        <v>0.93</v>
      </c>
      <c r="D116" t="str">
        <f ca="1"/>
        <v>Wind Turbine</v>
      </c>
      <c r="E116" s="17">
        <f ca="1"/>
        <v>0.93</v>
      </c>
      <c r="F116">
        <f ca="1"/>
        <v>0</v>
      </c>
    </row>
    <row r="117" spans="1:6" x14ac:dyDescent="0.2">
      <c r="A117" s="2">
        <v>2012</v>
      </c>
      <c r="B117" t="str">
        <v>Biomass Other</v>
      </c>
      <c r="C117" s="11">
        <v>0</v>
      </c>
      <c r="D117" t="str">
        <f ca="1"/>
        <v>Biomass Other</v>
      </c>
      <c r="E117" s="17">
        <f ca="1"/>
        <v>0</v>
      </c>
      <c r="F117">
        <f ca="1"/>
        <v>0</v>
      </c>
    </row>
    <row r="118" spans="1:6" x14ac:dyDescent="0.2">
      <c r="A118" s="2">
        <v>2012</v>
      </c>
      <c r="B118" t="str">
        <v>Biogas</v>
      </c>
      <c r="C118" s="11">
        <v>0</v>
      </c>
      <c r="D118" t="str">
        <f ca="1"/>
        <v>Biogas</v>
      </c>
      <c r="E118" s="17">
        <f ca="1"/>
        <v>0</v>
      </c>
      <c r="F118">
        <f ca="1"/>
        <v>0</v>
      </c>
    </row>
    <row r="119" spans="1:6" x14ac:dyDescent="0.2">
      <c r="A119" s="2">
        <v>2012</v>
      </c>
      <c r="B119" t="str">
        <v>Waste</v>
      </c>
      <c r="C119" s="11">
        <v>26</v>
      </c>
      <c r="D119" t="str">
        <f ca="1"/>
        <v>Waste to Energy</v>
      </c>
      <c r="E119" s="17">
        <f ca="1"/>
        <v>26</v>
      </c>
      <c r="F119">
        <f ca="1"/>
        <v>0</v>
      </c>
    </row>
    <row r="120" spans="1:6" x14ac:dyDescent="0.2">
      <c r="A120" s="2">
        <v>2013</v>
      </c>
      <c r="B120" t="str">
        <v>Coal Subcritical</v>
      </c>
      <c r="C120" s="11">
        <v>20868.53</v>
      </c>
      <c r="D120" t="str">
        <f ca="1"/>
        <v>Coal Subcritical</v>
      </c>
      <c r="E120" s="17">
        <f ca="1"/>
        <v>20868.53</v>
      </c>
      <c r="F120">
        <f ca="1"/>
        <v>0</v>
      </c>
    </row>
    <row r="121" spans="1:6" x14ac:dyDescent="0.2">
      <c r="A121" s="2">
        <v>2013</v>
      </c>
      <c r="B121" t="str">
        <v>Coal Supercritical</v>
      </c>
      <c r="C121" s="11">
        <v>1475</v>
      </c>
      <c r="D121" t="str">
        <f ca="1"/>
        <v>Coal Supercritical</v>
      </c>
      <c r="E121" s="17">
        <f ca="1"/>
        <v>1475</v>
      </c>
      <c r="F121">
        <f ca="1"/>
        <v>0</v>
      </c>
    </row>
    <row r="122" spans="1:6" x14ac:dyDescent="0.2">
      <c r="A122" s="2">
        <v>2013</v>
      </c>
      <c r="B122" t="str">
        <v>Diesel</v>
      </c>
      <c r="C122" s="11">
        <v>5935</v>
      </c>
      <c r="D122" t="str">
        <f ca="1"/>
        <v>Diesel Oil</v>
      </c>
      <c r="E122" s="17">
        <f ca="1"/>
        <v>5935</v>
      </c>
      <c r="F122">
        <f ca="1"/>
        <v>0</v>
      </c>
    </row>
    <row r="123" spans="1:6" x14ac:dyDescent="0.2">
      <c r="A123" s="2">
        <v>2013</v>
      </c>
      <c r="B123" t="str">
        <v>Gas Turbine</v>
      </c>
      <c r="C123" s="11">
        <v>4389.09</v>
      </c>
      <c r="D123" t="str">
        <f ca="1"/>
        <v>Natural gas based Gas Turbine</v>
      </c>
      <c r="E123" s="17">
        <f ca="1"/>
        <v>4389.0860000000002</v>
      </c>
      <c r="F123">
        <f ca="1"/>
        <v>0</v>
      </c>
    </row>
    <row r="124" spans="1:6" x14ac:dyDescent="0.2">
      <c r="A124" s="2">
        <v>2013</v>
      </c>
      <c r="B124" t="str">
        <v>Gas Engine</v>
      </c>
      <c r="C124" s="11">
        <v>448.12</v>
      </c>
      <c r="D124" t="str">
        <f ca="1"/>
        <v>Gas Engine</v>
      </c>
      <c r="E124" s="17">
        <f ca="1"/>
        <v>448.12</v>
      </c>
      <c r="F124">
        <f ca="1"/>
        <v>0</v>
      </c>
    </row>
    <row r="125" spans="1:6" x14ac:dyDescent="0.2">
      <c r="A125" s="2">
        <v>2013</v>
      </c>
      <c r="B125" t="str">
        <v>Gas Combined Cycle</v>
      </c>
      <c r="C125" s="11">
        <v>9852.2099999999991</v>
      </c>
      <c r="D125" t="str">
        <f ca="1"/>
        <v>Combined Cycle Gas Turbine</v>
      </c>
      <c r="E125" s="17">
        <f ca="1"/>
        <v>9852.2100000000009</v>
      </c>
      <c r="F125">
        <f ca="1"/>
        <v>0</v>
      </c>
    </row>
    <row r="126" spans="1:6" x14ac:dyDescent="0.2">
      <c r="A126" s="2">
        <v>2013</v>
      </c>
      <c r="B126" t="str">
        <v>Large Hydro</v>
      </c>
      <c r="C126" s="11">
        <v>5165.6099999999997</v>
      </c>
      <c r="D126" t="str">
        <f ca="1"/>
        <v>Large Hydro</v>
      </c>
      <c r="E126" s="17">
        <f ca="1"/>
        <v>5165.6099999999997</v>
      </c>
      <c r="F126">
        <f ca="1"/>
        <v>0</v>
      </c>
    </row>
    <row r="127" spans="1:6" x14ac:dyDescent="0.2">
      <c r="A127" s="2">
        <v>2013</v>
      </c>
      <c r="B127" t="str">
        <v>Small Hydro</v>
      </c>
      <c r="C127" s="11">
        <v>0</v>
      </c>
      <c r="D127" t="str">
        <f ca="1"/>
        <v>Small Hydro</v>
      </c>
      <c r="E127" s="17">
        <f ca="1"/>
        <v>0</v>
      </c>
      <c r="F127">
        <f ca="1"/>
        <v>0</v>
      </c>
    </row>
    <row r="128" spans="1:6" x14ac:dyDescent="0.2">
      <c r="A128">
        <v>2013</v>
      </c>
      <c r="B128" t="str">
        <v>Geothermal Flash</v>
      </c>
      <c r="C128" s="11">
        <v>1343.5</v>
      </c>
      <c r="D128" t="str">
        <f ca="1"/>
        <v>Geothermal</v>
      </c>
      <c r="E128" s="17">
        <f ca="1"/>
        <v>1343.5</v>
      </c>
      <c r="F128">
        <f ca="1"/>
        <v>0</v>
      </c>
    </row>
    <row r="129" spans="1:6" x14ac:dyDescent="0.2">
      <c r="A129">
        <v>2013</v>
      </c>
      <c r="B129" t="str">
        <v>Solar PV</v>
      </c>
      <c r="C129" s="11">
        <v>9</v>
      </c>
      <c r="D129" t="str">
        <f ca="1"/>
        <v>Solar PV</v>
      </c>
      <c r="E129" s="17">
        <f ca="1"/>
        <v>9</v>
      </c>
      <c r="F129">
        <f ca="1"/>
        <v>0</v>
      </c>
    </row>
    <row r="130" spans="1:6" x14ac:dyDescent="0.2">
      <c r="A130">
        <v>2013</v>
      </c>
      <c r="B130" t="str">
        <v>Wind Onshore</v>
      </c>
      <c r="C130" s="11">
        <v>0.63</v>
      </c>
      <c r="D130" t="str">
        <f ca="1"/>
        <v>Wind Turbine</v>
      </c>
      <c r="E130" s="17">
        <f ca="1"/>
        <v>0.63</v>
      </c>
      <c r="F130">
        <f ca="1"/>
        <v>0</v>
      </c>
    </row>
    <row r="131" spans="1:6" x14ac:dyDescent="0.2">
      <c r="A131">
        <v>2013</v>
      </c>
      <c r="B131" t="str">
        <v>Biomass Other</v>
      </c>
      <c r="C131" s="11">
        <v>0</v>
      </c>
      <c r="D131" t="str">
        <f ca="1"/>
        <v>Biomass Other</v>
      </c>
      <c r="E131" s="17">
        <f ca="1"/>
        <v>0</v>
      </c>
      <c r="F131">
        <f ca="1"/>
        <v>0</v>
      </c>
    </row>
    <row r="132" spans="1:6" x14ac:dyDescent="0.2">
      <c r="A132">
        <v>2013</v>
      </c>
      <c r="B132" t="str">
        <v>Biogas</v>
      </c>
      <c r="C132" s="11">
        <v>0</v>
      </c>
      <c r="D132" t="str">
        <f ca="1"/>
        <v>Biogas</v>
      </c>
      <c r="E132" s="17">
        <f ca="1"/>
        <v>0</v>
      </c>
      <c r="F132">
        <f ca="1"/>
        <v>0</v>
      </c>
    </row>
    <row r="133" spans="1:6" x14ac:dyDescent="0.2">
      <c r="A133">
        <v>2013</v>
      </c>
      <c r="B133" t="str">
        <v>Waste</v>
      </c>
      <c r="C133" s="11">
        <v>26</v>
      </c>
      <c r="D133" t="str">
        <f ca="1"/>
        <v>Waste to Energy</v>
      </c>
      <c r="E133" s="17">
        <f ca="1"/>
        <v>26</v>
      </c>
      <c r="F133">
        <f ca="1"/>
        <v>0</v>
      </c>
    </row>
    <row r="134" spans="1:6" x14ac:dyDescent="0.2">
      <c r="A134">
        <v>2014</v>
      </c>
      <c r="B134" t="str">
        <v>Coal Subcritical</v>
      </c>
      <c r="C134" s="11">
        <v>22160.23</v>
      </c>
      <c r="D134" t="str">
        <f ca="1"/>
        <v>Coal Subcritical</v>
      </c>
      <c r="E134" s="17">
        <f ca="1"/>
        <v>22160.23</v>
      </c>
      <c r="F134">
        <f ca="1"/>
        <v>0</v>
      </c>
    </row>
    <row r="135" spans="1:6" x14ac:dyDescent="0.2">
      <c r="A135">
        <v>2014</v>
      </c>
      <c r="B135" t="str">
        <v>Coal Supercritical</v>
      </c>
      <c r="C135" s="11">
        <v>1475</v>
      </c>
      <c r="D135" t="str">
        <f ca="1"/>
        <v>Coal Supercritical</v>
      </c>
      <c r="E135" s="17">
        <f ca="1"/>
        <v>1475</v>
      </c>
      <c r="F135">
        <f ca="1"/>
        <v>0</v>
      </c>
    </row>
    <row r="136" spans="1:6" x14ac:dyDescent="0.2">
      <c r="A136">
        <v>2014</v>
      </c>
      <c r="B136" t="str">
        <v>Diesel</v>
      </c>
      <c r="C136" s="11">
        <v>6206.99</v>
      </c>
      <c r="D136" t="str">
        <f ca="1"/>
        <v>Diesel Oil</v>
      </c>
      <c r="E136" s="17">
        <f ca="1"/>
        <v>6206.99</v>
      </c>
      <c r="F136">
        <f ca="1"/>
        <v>0</v>
      </c>
    </row>
    <row r="137" spans="1:6" x14ac:dyDescent="0.2">
      <c r="A137">
        <v>2014</v>
      </c>
      <c r="B137" t="str">
        <v>Gas Turbine</v>
      </c>
      <c r="C137" s="11">
        <v>4310.5</v>
      </c>
      <c r="D137" t="str">
        <f ca="1"/>
        <v>Natural gas based Gas Turbine</v>
      </c>
      <c r="E137" s="17">
        <f ca="1"/>
        <v>4310.4980000000005</v>
      </c>
      <c r="F137">
        <f ca="1"/>
        <v>0</v>
      </c>
    </row>
    <row r="138" spans="1:6" x14ac:dyDescent="0.2">
      <c r="A138">
        <v>2014</v>
      </c>
      <c r="B138" t="str">
        <v>Gas Engine</v>
      </c>
      <c r="C138" s="11">
        <v>610.74</v>
      </c>
      <c r="D138" t="str">
        <f ca="1"/>
        <v>Gas Engine</v>
      </c>
      <c r="E138" s="17">
        <f ca="1"/>
        <v>610.74099999999999</v>
      </c>
      <c r="F138">
        <f ca="1"/>
        <v>0</v>
      </c>
    </row>
    <row r="139" spans="1:6" x14ac:dyDescent="0.2">
      <c r="A139">
        <v>2014</v>
      </c>
      <c r="B139" t="str">
        <v>Gas Combined Cycle</v>
      </c>
      <c r="C139" s="11">
        <v>10146.11</v>
      </c>
      <c r="D139" t="str">
        <f ca="1"/>
        <v>Combined Cycle Gas Turbine</v>
      </c>
      <c r="E139" s="17">
        <f ca="1"/>
        <v>10146.11</v>
      </c>
      <c r="F139">
        <f ca="1"/>
        <v>0</v>
      </c>
    </row>
    <row r="140" spans="1:6" x14ac:dyDescent="0.2">
      <c r="A140">
        <v>2014</v>
      </c>
      <c r="B140" t="str">
        <v>Large Hydro</v>
      </c>
      <c r="C140" s="11">
        <v>5229.3900000000003</v>
      </c>
      <c r="D140" t="str">
        <f ca="1"/>
        <v>Large Hydro</v>
      </c>
      <c r="E140" s="17">
        <f ca="1"/>
        <v>5229.3900000000003</v>
      </c>
      <c r="F140">
        <f ca="1"/>
        <v>0</v>
      </c>
    </row>
    <row r="141" spans="1:6" x14ac:dyDescent="0.2">
      <c r="A141">
        <v>2014</v>
      </c>
      <c r="B141" t="str">
        <v>Small Hydro</v>
      </c>
      <c r="C141" s="11">
        <v>0</v>
      </c>
      <c r="D141" t="str">
        <f ca="1"/>
        <v>Small Hydro</v>
      </c>
      <c r="E141" s="17">
        <f ca="1"/>
        <v>0</v>
      </c>
      <c r="F141">
        <f ca="1"/>
        <v>0</v>
      </c>
    </row>
    <row r="142" spans="1:6" x14ac:dyDescent="0.2">
      <c r="A142">
        <v>2014</v>
      </c>
      <c r="B142" t="str">
        <v>Geothermal Flash</v>
      </c>
      <c r="C142" s="11">
        <v>1403.5</v>
      </c>
      <c r="D142" t="str">
        <f ca="1"/>
        <v>Geothermal</v>
      </c>
      <c r="E142" s="17">
        <f ca="1"/>
        <v>1403.5</v>
      </c>
      <c r="F142">
        <f ca="1"/>
        <v>0</v>
      </c>
    </row>
    <row r="143" spans="1:6" x14ac:dyDescent="0.2">
      <c r="A143">
        <v>2014</v>
      </c>
      <c r="B143" t="str">
        <v>Solar PV</v>
      </c>
      <c r="C143" s="11">
        <v>9</v>
      </c>
      <c r="D143" t="str">
        <f ca="1"/>
        <v>Solar PV</v>
      </c>
      <c r="E143" s="17">
        <f ca="1"/>
        <v>9</v>
      </c>
      <c r="F143">
        <f ca="1"/>
        <v>0</v>
      </c>
    </row>
    <row r="144" spans="1:6" x14ac:dyDescent="0.2">
      <c r="A144">
        <v>2014</v>
      </c>
      <c r="B144" t="str">
        <v>Wind Onshore</v>
      </c>
      <c r="C144" s="11">
        <v>1.1200000000000001</v>
      </c>
      <c r="D144" t="str">
        <f ca="1"/>
        <v>Wind Turbine</v>
      </c>
      <c r="E144" s="17">
        <f ca="1"/>
        <v>1.1200000000000001</v>
      </c>
      <c r="F144">
        <f ca="1"/>
        <v>0</v>
      </c>
    </row>
    <row r="145" spans="1:6" x14ac:dyDescent="0.2">
      <c r="A145">
        <v>2014</v>
      </c>
      <c r="B145" t="str">
        <v>Biomass Other</v>
      </c>
      <c r="C145" s="11">
        <v>0</v>
      </c>
      <c r="D145" t="str">
        <f ca="1"/>
        <v>Biomass Other</v>
      </c>
      <c r="E145" s="17">
        <f ca="1"/>
        <v>0</v>
      </c>
      <c r="F145">
        <f ca="1"/>
        <v>0</v>
      </c>
    </row>
    <row r="146" spans="1:6" x14ac:dyDescent="0.2">
      <c r="A146">
        <v>2014</v>
      </c>
      <c r="B146" t="str">
        <v>Biogas</v>
      </c>
      <c r="C146" s="11">
        <v>0</v>
      </c>
      <c r="D146" t="str">
        <f ca="1"/>
        <v>Biogas</v>
      </c>
      <c r="E146" s="17">
        <f ca="1"/>
        <v>0</v>
      </c>
      <c r="F146">
        <f ca="1"/>
        <v>0</v>
      </c>
    </row>
    <row r="147" spans="1:6" x14ac:dyDescent="0.2">
      <c r="A147">
        <v>2014</v>
      </c>
      <c r="B147" t="str">
        <v>Waste</v>
      </c>
      <c r="C147" s="11">
        <v>36</v>
      </c>
      <c r="D147" t="str">
        <f ca="1"/>
        <v>Waste to Energy</v>
      </c>
      <c r="E147" s="17">
        <f ca="1"/>
        <v>36</v>
      </c>
      <c r="F147">
        <f ca="1"/>
        <v>0</v>
      </c>
    </row>
    <row r="148" spans="1:6" x14ac:dyDescent="0.2">
      <c r="A148">
        <v>2015</v>
      </c>
      <c r="B148" t="str">
        <v>Coal Subcritical</v>
      </c>
      <c r="C148" s="11">
        <v>24285.73</v>
      </c>
      <c r="D148" t="str">
        <f ca="1"/>
        <v>Coal Subcritical</v>
      </c>
      <c r="E148" s="17">
        <f ca="1"/>
        <v>24285.73</v>
      </c>
      <c r="F148">
        <f ca="1"/>
        <v>0</v>
      </c>
    </row>
    <row r="149" spans="1:6" x14ac:dyDescent="0.2">
      <c r="A149">
        <v>2015</v>
      </c>
      <c r="B149" t="str">
        <v>Coal Supercritical</v>
      </c>
      <c r="C149" s="11">
        <v>1475</v>
      </c>
      <c r="D149" t="str">
        <f ca="1"/>
        <v>Coal Supercritical</v>
      </c>
      <c r="E149" s="17">
        <f ca="1"/>
        <v>1475</v>
      </c>
      <c r="F149">
        <f ca="1"/>
        <v>0</v>
      </c>
    </row>
    <row r="150" spans="1:6" x14ac:dyDescent="0.2">
      <c r="A150">
        <v>2015</v>
      </c>
      <c r="B150" t="str">
        <v>Diesel</v>
      </c>
      <c r="C150" s="11">
        <v>6274.79</v>
      </c>
      <c r="D150" t="str">
        <f ca="1"/>
        <v>Diesel Oil</v>
      </c>
      <c r="E150" s="17">
        <f ca="1"/>
        <v>6274.79</v>
      </c>
      <c r="F150">
        <f ca="1"/>
        <v>0</v>
      </c>
    </row>
    <row r="151" spans="1:6" x14ac:dyDescent="0.2">
      <c r="A151">
        <v>2015</v>
      </c>
      <c r="B151" t="str">
        <v>Gas Turbine</v>
      </c>
      <c r="C151" s="11">
        <v>4310.5</v>
      </c>
      <c r="D151" t="str">
        <f ca="1"/>
        <v>Natural gas based Gas Turbine</v>
      </c>
      <c r="E151" s="17">
        <f ca="1"/>
        <v>4310.4980000000005</v>
      </c>
      <c r="F151">
        <f ca="1"/>
        <v>0</v>
      </c>
    </row>
    <row r="152" spans="1:6" x14ac:dyDescent="0.2">
      <c r="A152">
        <v>2015</v>
      </c>
      <c r="B152" t="str">
        <v>Gas Engine</v>
      </c>
      <c r="C152" s="11">
        <v>818.74</v>
      </c>
      <c r="D152" t="str">
        <f ca="1"/>
        <v>Gas Engine</v>
      </c>
      <c r="E152" s="17">
        <f ca="1"/>
        <v>818.74099999999999</v>
      </c>
      <c r="F152">
        <f ca="1"/>
        <v>0</v>
      </c>
    </row>
    <row r="153" spans="1:6" x14ac:dyDescent="0.2">
      <c r="A153">
        <v>2015</v>
      </c>
      <c r="B153" t="str">
        <v>Gas Combined Cycle</v>
      </c>
      <c r="C153" s="11">
        <v>10146.11</v>
      </c>
      <c r="D153" t="str">
        <f ca="1"/>
        <v>Combined Cycle Gas Turbine</v>
      </c>
      <c r="E153" s="17">
        <f ca="1"/>
        <v>10146.11</v>
      </c>
      <c r="F153">
        <f ca="1"/>
        <v>0</v>
      </c>
    </row>
    <row r="154" spans="1:6" x14ac:dyDescent="0.2">
      <c r="A154">
        <v>2015</v>
      </c>
      <c r="B154" t="str">
        <v>Large Hydro</v>
      </c>
      <c r="C154" s="11">
        <v>5260.69</v>
      </c>
      <c r="D154" t="str">
        <f ca="1"/>
        <v>Large Hydro</v>
      </c>
      <c r="E154" s="17">
        <f ca="1"/>
        <v>5260.6900000000005</v>
      </c>
      <c r="F154">
        <f ca="1"/>
        <v>0</v>
      </c>
    </row>
    <row r="155" spans="1:6" x14ac:dyDescent="0.2">
      <c r="A155">
        <v>2015</v>
      </c>
      <c r="B155" t="str">
        <v>Small Hydro</v>
      </c>
      <c r="C155" s="11">
        <v>0</v>
      </c>
      <c r="D155" t="str">
        <f ca="1"/>
        <v>Small Hydro</v>
      </c>
      <c r="E155" s="17">
        <f ca="1"/>
        <v>0</v>
      </c>
      <c r="F155">
        <f ca="1"/>
        <v>0</v>
      </c>
    </row>
    <row r="156" spans="1:6" x14ac:dyDescent="0.2">
      <c r="A156">
        <v>2015</v>
      </c>
      <c r="B156" t="str">
        <v>Geothermal Flash</v>
      </c>
      <c r="C156" s="11">
        <v>1438.5</v>
      </c>
      <c r="D156" t="str">
        <f ca="1"/>
        <v>Geothermal</v>
      </c>
      <c r="E156" s="17">
        <f ca="1"/>
        <v>1438.5</v>
      </c>
      <c r="F156">
        <f ca="1"/>
        <v>0</v>
      </c>
    </row>
    <row r="157" spans="1:6" x14ac:dyDescent="0.2">
      <c r="A157">
        <v>2015</v>
      </c>
      <c r="B157" t="str">
        <v>Solar PV</v>
      </c>
      <c r="C157" s="11">
        <v>36.9</v>
      </c>
      <c r="D157" t="str">
        <f ca="1"/>
        <v>Solar PV</v>
      </c>
      <c r="E157" s="17">
        <f ca="1"/>
        <v>36.9</v>
      </c>
      <c r="F157">
        <f ca="1"/>
        <v>0</v>
      </c>
    </row>
    <row r="158" spans="1:6" x14ac:dyDescent="0.2">
      <c r="A158">
        <v>2015</v>
      </c>
      <c r="B158" t="str">
        <v>Wind Onshore</v>
      </c>
      <c r="C158" s="11">
        <v>1.1200000000000001</v>
      </c>
      <c r="D158" t="str">
        <f ca="1"/>
        <v>Wind Turbine</v>
      </c>
      <c r="E158" s="17">
        <f ca="1"/>
        <v>1.1200000000000001</v>
      </c>
      <c r="F158">
        <f ca="1"/>
        <v>0</v>
      </c>
    </row>
    <row r="159" spans="1:6" x14ac:dyDescent="0.2">
      <c r="A159">
        <v>2015</v>
      </c>
      <c r="B159" t="str">
        <v>Biomass Other</v>
      </c>
      <c r="C159" s="11">
        <v>0</v>
      </c>
      <c r="D159" t="str">
        <f ca="1"/>
        <v>Biomass Other</v>
      </c>
      <c r="E159" s="17">
        <f ca="1"/>
        <v>0</v>
      </c>
      <c r="F159">
        <f ca="1"/>
        <v>0</v>
      </c>
    </row>
    <row r="160" spans="1:6" x14ac:dyDescent="0.2">
      <c r="A160">
        <v>2015</v>
      </c>
      <c r="B160" t="str">
        <v>Biogas</v>
      </c>
      <c r="C160" s="11">
        <v>0</v>
      </c>
      <c r="D160" t="str">
        <f ca="1"/>
        <v>Biogas</v>
      </c>
      <c r="E160" s="17">
        <f ca="1"/>
        <v>0</v>
      </c>
      <c r="F160">
        <f ca="1"/>
        <v>0</v>
      </c>
    </row>
    <row r="161" spans="1:6" x14ac:dyDescent="0.2">
      <c r="A161">
        <v>2015</v>
      </c>
      <c r="B161" t="str">
        <v>Waste</v>
      </c>
      <c r="C161" s="11">
        <v>15.65</v>
      </c>
      <c r="D161" t="str">
        <f ca="1"/>
        <v>Waste to Energy</v>
      </c>
      <c r="E161" s="17">
        <f ca="1"/>
        <v>15.65</v>
      </c>
      <c r="F161">
        <f ca="1"/>
        <v>0</v>
      </c>
    </row>
    <row r="162" spans="1:6" x14ac:dyDescent="0.2">
      <c r="A162">
        <v>2016</v>
      </c>
      <c r="B162" t="str">
        <v>Coal Subcritical</v>
      </c>
      <c r="C162" s="11">
        <v>24388.23</v>
      </c>
      <c r="D162" t="str">
        <f ca="1"/>
        <v>Coal Subcritical</v>
      </c>
      <c r="E162" s="17">
        <f ca="1"/>
        <v>24388.23</v>
      </c>
      <c r="F162">
        <f ca="1"/>
        <v>0</v>
      </c>
    </row>
    <row r="163" spans="1:6" x14ac:dyDescent="0.2">
      <c r="A163">
        <v>2016</v>
      </c>
      <c r="B163" t="str">
        <v>Coal Supercritical</v>
      </c>
      <c r="C163" s="11">
        <v>2749</v>
      </c>
      <c r="D163" t="str">
        <f ca="1"/>
        <v>Coal Supercritical</v>
      </c>
      <c r="E163" s="17">
        <f ca="1"/>
        <v>2749</v>
      </c>
      <c r="F163">
        <f ca="1"/>
        <v>0</v>
      </c>
    </row>
    <row r="164" spans="1:6" x14ac:dyDescent="0.2">
      <c r="A164">
        <v>2016</v>
      </c>
      <c r="B164" t="str">
        <v>Diesel</v>
      </c>
      <c r="C164" s="11">
        <v>6274.79</v>
      </c>
      <c r="D164" t="str">
        <f ca="1"/>
        <v>Diesel Oil</v>
      </c>
      <c r="E164" s="17">
        <f ca="1"/>
        <v>6274.79</v>
      </c>
      <c r="F164">
        <f ca="1"/>
        <v>0</v>
      </c>
    </row>
    <row r="165" spans="1:6" x14ac:dyDescent="0.2">
      <c r="A165">
        <v>2016</v>
      </c>
      <c r="B165" t="str">
        <v>Gas Turbine</v>
      </c>
      <c r="C165" s="11">
        <v>4420.5</v>
      </c>
      <c r="D165" t="str">
        <f ca="1"/>
        <v>Natural gas based Gas Turbine</v>
      </c>
      <c r="E165" s="17">
        <f ca="1"/>
        <v>4420.5</v>
      </c>
      <c r="F165">
        <f ca="1"/>
        <v>0</v>
      </c>
    </row>
    <row r="166" spans="1:6" x14ac:dyDescent="0.2">
      <c r="A166">
        <v>2016</v>
      </c>
      <c r="B166" t="str">
        <v>Gas Engine</v>
      </c>
      <c r="C166" s="11">
        <v>1852.74</v>
      </c>
      <c r="D166" t="str">
        <f ca="1"/>
        <v>Gas Engine</v>
      </c>
      <c r="E166" s="17">
        <f ca="1"/>
        <v>1852.74</v>
      </c>
      <c r="F166">
        <f ca="1"/>
        <v>0</v>
      </c>
    </row>
    <row r="167" spans="1:6" x14ac:dyDescent="0.2">
      <c r="A167">
        <v>2016</v>
      </c>
      <c r="B167" t="str">
        <v>Gas Combined Cycle</v>
      </c>
      <c r="C167" s="11">
        <v>10146.11</v>
      </c>
      <c r="D167" t="str">
        <f ca="1"/>
        <v>Combined Cycle Gas Turbine</v>
      </c>
      <c r="E167" s="17">
        <f ca="1"/>
        <v>10146.11</v>
      </c>
      <c r="F167">
        <f ca="1"/>
        <v>0</v>
      </c>
    </row>
    <row r="168" spans="1:6" x14ac:dyDescent="0.2">
      <c r="A168">
        <v>2016</v>
      </c>
      <c r="B168" t="str">
        <v>Large Hydro</v>
      </c>
      <c r="C168" s="11">
        <v>5382.39</v>
      </c>
      <c r="D168" t="str">
        <f ca="1"/>
        <v>Large Hydro</v>
      </c>
      <c r="E168" s="17">
        <f ca="1"/>
        <v>5382.39</v>
      </c>
      <c r="F168">
        <f ca="1"/>
        <v>0</v>
      </c>
    </row>
    <row r="169" spans="1:6" x14ac:dyDescent="0.2">
      <c r="A169">
        <v>2016</v>
      </c>
      <c r="B169" t="str">
        <v>Small Hydro</v>
      </c>
      <c r="C169" s="11">
        <v>0</v>
      </c>
      <c r="D169" t="str">
        <f ca="1"/>
        <v>Small Hydro</v>
      </c>
      <c r="E169" s="17">
        <f ca="1"/>
        <v>0</v>
      </c>
      <c r="F169">
        <f ca="1"/>
        <v>0</v>
      </c>
    </row>
    <row r="170" spans="1:6" x14ac:dyDescent="0.2">
      <c r="A170">
        <v>2016</v>
      </c>
      <c r="B170" t="str">
        <v>Geothermal Flash</v>
      </c>
      <c r="C170" s="11">
        <v>1643.5</v>
      </c>
      <c r="D170" t="str">
        <f ca="1"/>
        <v>Geothermal</v>
      </c>
      <c r="E170" s="17">
        <f ca="1"/>
        <v>1643.5</v>
      </c>
      <c r="F170">
        <f ca="1"/>
        <v>0</v>
      </c>
    </row>
    <row r="171" spans="1:6" x14ac:dyDescent="0.2">
      <c r="A171">
        <v>2016</v>
      </c>
      <c r="B171" t="str">
        <v>Solar PV</v>
      </c>
      <c r="C171" s="11">
        <v>46.7</v>
      </c>
      <c r="D171" t="str">
        <f ca="1"/>
        <v>Solar PV</v>
      </c>
      <c r="E171" s="17">
        <f ca="1"/>
        <v>46.7</v>
      </c>
      <c r="F171">
        <f ca="1"/>
        <v>0</v>
      </c>
    </row>
    <row r="172" spans="1:6" x14ac:dyDescent="0.2">
      <c r="A172">
        <v>2016</v>
      </c>
      <c r="B172" t="str">
        <v>Wind Onshore</v>
      </c>
      <c r="C172" s="11">
        <v>1.1200000000000001</v>
      </c>
      <c r="D172" t="str">
        <f ca="1"/>
        <v>Wind Turbine</v>
      </c>
      <c r="E172" s="17">
        <f ca="1"/>
        <v>1.1200000000000001</v>
      </c>
      <c r="F172">
        <f ca="1"/>
        <v>0</v>
      </c>
    </row>
    <row r="173" spans="1:6" x14ac:dyDescent="0.2">
      <c r="A173">
        <v>2016</v>
      </c>
      <c r="B173" t="str">
        <v>Biomass Other</v>
      </c>
      <c r="C173" s="11">
        <v>0</v>
      </c>
      <c r="D173" t="str">
        <f ca="1"/>
        <v>Biomass Other</v>
      </c>
      <c r="E173" s="17">
        <f ca="1"/>
        <v>0</v>
      </c>
      <c r="F173">
        <f ca="1"/>
        <v>0</v>
      </c>
    </row>
    <row r="174" spans="1:6" x14ac:dyDescent="0.2">
      <c r="A174">
        <v>2016</v>
      </c>
      <c r="B174" t="str">
        <v>Biogas</v>
      </c>
      <c r="C174" s="11">
        <v>0</v>
      </c>
      <c r="D174" t="str">
        <f ca="1"/>
        <v>Biogas</v>
      </c>
      <c r="E174" s="17">
        <f ca="1"/>
        <v>0</v>
      </c>
      <c r="F174">
        <f ca="1"/>
        <v>0</v>
      </c>
    </row>
    <row r="175" spans="1:6" x14ac:dyDescent="0.2">
      <c r="A175">
        <v>2016</v>
      </c>
      <c r="B175" t="str">
        <v>Waste</v>
      </c>
      <c r="C175" s="11">
        <v>15.65</v>
      </c>
      <c r="D175" t="str">
        <f ca="1"/>
        <v>Waste to Energy</v>
      </c>
      <c r="E175" s="17">
        <f ca="1"/>
        <v>15.65</v>
      </c>
      <c r="F175">
        <f ca="1"/>
        <v>0</v>
      </c>
    </row>
    <row r="176" spans="1:6" x14ac:dyDescent="0.2">
      <c r="A176">
        <v>2017</v>
      </c>
      <c r="B176" t="str">
        <v>Coal Subcritical</v>
      </c>
      <c r="C176" s="11">
        <v>23396.2</v>
      </c>
      <c r="D176" t="str">
        <f ca="1"/>
        <v>Coal Subcritical</v>
      </c>
      <c r="E176" s="17">
        <f ca="1"/>
        <v>23396.2</v>
      </c>
      <c r="F176">
        <f ca="1"/>
        <v>0</v>
      </c>
    </row>
    <row r="177" spans="1:6" x14ac:dyDescent="0.2">
      <c r="A177">
        <v>2017</v>
      </c>
      <c r="B177" t="str">
        <v>Coal Supercritical</v>
      </c>
      <c r="C177" s="11">
        <v>3409</v>
      </c>
      <c r="D177" t="str">
        <f ca="1"/>
        <v>Coal Supercritical</v>
      </c>
      <c r="E177" s="17">
        <f ca="1"/>
        <v>3409</v>
      </c>
      <c r="F177">
        <f ca="1"/>
        <v>0</v>
      </c>
    </row>
    <row r="178" spans="1:6" x14ac:dyDescent="0.2">
      <c r="A178">
        <v>2017</v>
      </c>
      <c r="B178" t="str">
        <v>Diesel</v>
      </c>
      <c r="C178" s="11">
        <v>6278.79</v>
      </c>
      <c r="D178" t="str">
        <f ca="1"/>
        <v>Diesel Oil</v>
      </c>
      <c r="E178" s="17">
        <f ca="1"/>
        <v>6278.79</v>
      </c>
      <c r="F178">
        <f ca="1"/>
        <v>0</v>
      </c>
    </row>
    <row r="179" spans="1:6" x14ac:dyDescent="0.2">
      <c r="A179">
        <v>2017</v>
      </c>
      <c r="B179" t="str">
        <v>Gas Turbine</v>
      </c>
      <c r="C179" s="11">
        <v>4420.5</v>
      </c>
      <c r="D179" t="str">
        <f ca="1"/>
        <v>Natural gas based Gas Turbine</v>
      </c>
      <c r="E179" s="17">
        <f ca="1"/>
        <v>4420.4980000000005</v>
      </c>
      <c r="F179">
        <f ca="1"/>
        <v>0</v>
      </c>
    </row>
    <row r="180" spans="1:6" x14ac:dyDescent="0.2">
      <c r="A180">
        <v>2017</v>
      </c>
      <c r="B180" t="str">
        <v>Gas Engine</v>
      </c>
      <c r="C180" s="11">
        <v>2406.9699999999998</v>
      </c>
      <c r="D180" t="str">
        <f ca="1"/>
        <v>Gas Engine</v>
      </c>
      <c r="E180" s="17">
        <f ca="1"/>
        <v>2406.971</v>
      </c>
      <c r="F180">
        <f ca="1"/>
        <v>0</v>
      </c>
    </row>
    <row r="181" spans="1:6" x14ac:dyDescent="0.2">
      <c r="A181">
        <v>2017</v>
      </c>
      <c r="B181" t="str">
        <v>Gas Combined Cycle</v>
      </c>
      <c r="C181" s="11">
        <v>10146.11</v>
      </c>
      <c r="D181" t="str">
        <f ca="1"/>
        <v>Combined Cycle Gas Turbine</v>
      </c>
      <c r="E181" s="17">
        <f ca="1"/>
        <v>10146.11</v>
      </c>
      <c r="F181">
        <f ca="1"/>
        <v>0</v>
      </c>
    </row>
    <row r="182" spans="1:6" x14ac:dyDescent="0.2">
      <c r="A182">
        <v>2017</v>
      </c>
      <c r="B182" t="str">
        <v>Large Hydro</v>
      </c>
      <c r="C182" s="11">
        <v>5450.14</v>
      </c>
      <c r="D182" t="str">
        <f ca="1"/>
        <v>Large Hydro</v>
      </c>
      <c r="E182" s="17">
        <f ca="1"/>
        <v>5450.14</v>
      </c>
      <c r="F182">
        <f ca="1"/>
        <v>0</v>
      </c>
    </row>
    <row r="183" spans="1:6" x14ac:dyDescent="0.2">
      <c r="A183">
        <v>2017</v>
      </c>
      <c r="B183" t="str">
        <v>Small Hydro</v>
      </c>
      <c r="C183" s="11">
        <v>0</v>
      </c>
      <c r="D183" t="str">
        <f ca="1"/>
        <v>Small Hydro</v>
      </c>
      <c r="E183" s="17">
        <f ca="1"/>
        <v>0</v>
      </c>
      <c r="F183">
        <f ca="1"/>
        <v>0</v>
      </c>
    </row>
    <row r="184" spans="1:6" x14ac:dyDescent="0.2">
      <c r="A184">
        <v>2017</v>
      </c>
      <c r="B184" t="str">
        <v>Geothermal Flash</v>
      </c>
      <c r="C184" s="11">
        <v>1808.3</v>
      </c>
      <c r="D184" t="str">
        <f ca="1"/>
        <v>Geothermal</v>
      </c>
      <c r="E184" s="17">
        <f ca="1"/>
        <v>1808.3</v>
      </c>
      <c r="F184">
        <f ca="1"/>
        <v>0</v>
      </c>
    </row>
    <row r="185" spans="1:6" x14ac:dyDescent="0.2">
      <c r="A185">
        <v>2017</v>
      </c>
      <c r="B185" t="str">
        <v>Solar PV</v>
      </c>
      <c r="C185" s="11">
        <v>54.5</v>
      </c>
      <c r="D185" t="str">
        <f ca="1"/>
        <v>Solar PV</v>
      </c>
      <c r="E185" s="17">
        <f ca="1"/>
        <v>54.5</v>
      </c>
      <c r="F185">
        <f ca="1"/>
        <v>0</v>
      </c>
    </row>
    <row r="186" spans="1:6" x14ac:dyDescent="0.2">
      <c r="A186">
        <v>2017</v>
      </c>
      <c r="B186" t="str">
        <v>Wind Onshore</v>
      </c>
      <c r="C186" s="11">
        <v>1.1200000000000001</v>
      </c>
      <c r="D186" t="str">
        <f ca="1"/>
        <v>Wind Turbine</v>
      </c>
      <c r="E186" s="17">
        <f ca="1"/>
        <v>1.1200000000000001</v>
      </c>
      <c r="F186">
        <f ca="1"/>
        <v>0</v>
      </c>
    </row>
    <row r="187" spans="1:6" x14ac:dyDescent="0.2">
      <c r="A187">
        <v>2017</v>
      </c>
      <c r="B187" t="str">
        <v>Biomass Other</v>
      </c>
      <c r="C187" s="11">
        <v>0.9</v>
      </c>
      <c r="D187" t="str">
        <f ca="1"/>
        <v>Biomass Other</v>
      </c>
      <c r="E187" s="17">
        <f ca="1"/>
        <v>0.9</v>
      </c>
      <c r="F187">
        <f ca="1"/>
        <v>0</v>
      </c>
    </row>
    <row r="188" spans="1:6" x14ac:dyDescent="0.2">
      <c r="A188">
        <v>2017</v>
      </c>
      <c r="B188" t="str">
        <v>Biogas</v>
      </c>
      <c r="C188" s="11">
        <v>12.8</v>
      </c>
      <c r="D188" t="str">
        <f ca="1"/>
        <v>Biogas</v>
      </c>
      <c r="E188" s="17">
        <f ca="1"/>
        <v>12.8</v>
      </c>
      <c r="F188">
        <f ca="1"/>
        <v>0</v>
      </c>
    </row>
    <row r="189" spans="1:6" x14ac:dyDescent="0.2">
      <c r="A189">
        <v>2017</v>
      </c>
      <c r="B189" t="str">
        <v>Waste</v>
      </c>
      <c r="C189" s="11">
        <v>15.65</v>
      </c>
      <c r="D189" t="str">
        <f ca="1"/>
        <v>Waste to Energy</v>
      </c>
      <c r="E189" s="17">
        <f ca="1"/>
        <v>15.65</v>
      </c>
      <c r="F189">
        <f ca="1"/>
        <v>0</v>
      </c>
    </row>
    <row r="190" spans="1:6" x14ac:dyDescent="0.2">
      <c r="A190">
        <v>2018</v>
      </c>
      <c r="B190" t="str">
        <v>Coal Subcritical</v>
      </c>
      <c r="C190" s="11">
        <v>28178.17</v>
      </c>
      <c r="D190" t="str">
        <f ca="1"/>
        <v>Coal Subcritical</v>
      </c>
      <c r="E190" s="17">
        <f ca="1"/>
        <v>28178.17</v>
      </c>
      <c r="F190">
        <f ca="1"/>
        <v>0</v>
      </c>
    </row>
    <row r="191" spans="1:6" x14ac:dyDescent="0.2">
      <c r="A191">
        <v>2018</v>
      </c>
      <c r="B191" t="str">
        <v>Coal Supercritical</v>
      </c>
      <c r="C191" s="11">
        <v>3409</v>
      </c>
      <c r="D191" t="str">
        <f ca="1"/>
        <v>Coal Supercritical</v>
      </c>
      <c r="E191" s="17">
        <f ca="1"/>
        <v>3409</v>
      </c>
      <c r="F191">
        <f ca="1"/>
        <v>0</v>
      </c>
    </row>
    <row r="192" spans="1:6" x14ac:dyDescent="0.2">
      <c r="A192">
        <v>2018</v>
      </c>
      <c r="B192" t="str">
        <v>Diesel</v>
      </c>
      <c r="C192" s="11">
        <v>4630.8999999999996</v>
      </c>
      <c r="D192" t="str">
        <f ca="1"/>
        <v>Diesel Oil</v>
      </c>
      <c r="E192" s="17">
        <f ca="1"/>
        <v>4630.8999999999996</v>
      </c>
      <c r="F192">
        <f ca="1"/>
        <v>0</v>
      </c>
    </row>
    <row r="193" spans="1:6" x14ac:dyDescent="0.2">
      <c r="A193">
        <v>2018</v>
      </c>
      <c r="B193" t="str">
        <v>Gas Turbine</v>
      </c>
      <c r="C193" s="11">
        <v>5348.44</v>
      </c>
      <c r="D193" t="str">
        <f ca="1"/>
        <v>Natural gas based Gas Turbine</v>
      </c>
      <c r="E193" s="17">
        <f ca="1"/>
        <v>5348.44</v>
      </c>
      <c r="F193">
        <f ca="1"/>
        <v>0</v>
      </c>
    </row>
    <row r="194" spans="1:6" x14ac:dyDescent="0.2">
      <c r="A194">
        <v>2018</v>
      </c>
      <c r="B194" t="str">
        <v>Gas Engine</v>
      </c>
      <c r="C194" s="11">
        <v>2357.66</v>
      </c>
      <c r="D194" t="str">
        <f ca="1"/>
        <v>Gas Engine</v>
      </c>
      <c r="E194" s="17">
        <f ca="1"/>
        <v>2357.66</v>
      </c>
      <c r="F194">
        <f ca="1"/>
        <v>0</v>
      </c>
    </row>
    <row r="195" spans="1:6" x14ac:dyDescent="0.2">
      <c r="A195">
        <v>2018</v>
      </c>
      <c r="B195" t="str">
        <v>Gas Combined Cycle</v>
      </c>
      <c r="C195" s="11">
        <v>11220.1</v>
      </c>
      <c r="D195" t="str">
        <f ca="1"/>
        <v>Combined Cycle Gas Turbine</v>
      </c>
      <c r="E195" s="17">
        <f ca="1"/>
        <v>11220.1</v>
      </c>
      <c r="F195">
        <f ca="1"/>
        <v>0</v>
      </c>
    </row>
    <row r="196" spans="1:6" x14ac:dyDescent="0.2">
      <c r="A196">
        <v>2018</v>
      </c>
      <c r="B196" t="str">
        <v>Large Hydro</v>
      </c>
      <c r="C196" s="11">
        <v>5399.59</v>
      </c>
      <c r="D196" t="str">
        <f ca="1"/>
        <v>Large Hydro</v>
      </c>
      <c r="E196" s="17">
        <f ca="1"/>
        <v>5399.59</v>
      </c>
      <c r="F196">
        <f ca="1"/>
        <v>0</v>
      </c>
    </row>
    <row r="197" spans="1:6" x14ac:dyDescent="0.2">
      <c r="A197">
        <v>2018</v>
      </c>
      <c r="B197" t="str">
        <v>Small Hydro</v>
      </c>
      <c r="C197" s="11">
        <v>372.56</v>
      </c>
      <c r="D197" t="str">
        <f ca="1"/>
        <v>Small Hydro</v>
      </c>
      <c r="E197" s="17">
        <f ca="1"/>
        <v>372.56</v>
      </c>
      <c r="F197">
        <f ca="1"/>
        <v>0</v>
      </c>
    </row>
    <row r="198" spans="1:6" x14ac:dyDescent="0.2">
      <c r="A198">
        <v>2018</v>
      </c>
      <c r="B198" t="str">
        <v>Geothermal Flash</v>
      </c>
      <c r="C198" s="11">
        <v>1948.3</v>
      </c>
      <c r="D198" t="str">
        <f ca="1"/>
        <v>Geothermal</v>
      </c>
      <c r="E198" s="17">
        <f ca="1"/>
        <v>1948.3</v>
      </c>
      <c r="F198">
        <f ca="1"/>
        <v>0</v>
      </c>
    </row>
    <row r="199" spans="1:6" x14ac:dyDescent="0.2">
      <c r="A199">
        <v>2018</v>
      </c>
      <c r="B199" t="str">
        <v>Solar PV</v>
      </c>
      <c r="C199" s="11">
        <v>52.61</v>
      </c>
      <c r="D199" t="str">
        <f ca="1"/>
        <v>Solar PV</v>
      </c>
      <c r="E199" s="17">
        <f ca="1"/>
        <v>60.190000000000005</v>
      </c>
      <c r="F199">
        <f ca="1"/>
        <v>7.6</v>
      </c>
    </row>
    <row r="200" spans="1:6" x14ac:dyDescent="0.2">
      <c r="A200">
        <v>2018</v>
      </c>
      <c r="B200" t="str">
        <v>Wind Onshore</v>
      </c>
      <c r="C200" s="11">
        <v>143.51</v>
      </c>
      <c r="D200" t="str">
        <f ca="1"/>
        <v>Wind Turbine</v>
      </c>
      <c r="E200" s="17">
        <f ca="1"/>
        <v>143.51</v>
      </c>
      <c r="F200">
        <f ca="1"/>
        <v>0</v>
      </c>
    </row>
    <row r="201" spans="1:6" x14ac:dyDescent="0.2">
      <c r="A201">
        <v>2018</v>
      </c>
      <c r="B201" t="str">
        <v>Biomass Other</v>
      </c>
      <c r="C201" s="11">
        <v>1762.12</v>
      </c>
      <c r="D201" t="str">
        <f ca="1"/>
        <v>Biomass Other</v>
      </c>
      <c r="E201" s="17">
        <f ca="1"/>
        <v>1762.12</v>
      </c>
      <c r="F201">
        <f ca="1"/>
        <v>0</v>
      </c>
    </row>
    <row r="202" spans="1:6" x14ac:dyDescent="0.2">
      <c r="A202">
        <v>2018</v>
      </c>
      <c r="B202" t="str">
        <v>Biogas</v>
      </c>
      <c r="C202" s="11">
        <v>108.61</v>
      </c>
      <c r="D202" t="str">
        <f ca="1"/>
        <v>Biogas</v>
      </c>
      <c r="E202" s="17">
        <f ca="1"/>
        <v>108.61000000000001</v>
      </c>
      <c r="F202">
        <f ca="1"/>
        <v>0</v>
      </c>
    </row>
    <row r="203" spans="1:6" x14ac:dyDescent="0.2">
      <c r="A203">
        <v>2018</v>
      </c>
      <c r="B203" t="str">
        <v>Waste</v>
      </c>
      <c r="C203" s="11">
        <v>15.65</v>
      </c>
      <c r="D203" t="str">
        <f ca="1"/>
        <v>Waste to Energy</v>
      </c>
      <c r="E203" s="17">
        <f ca="1"/>
        <v>15.65</v>
      </c>
      <c r="F203">
        <f ca="1"/>
        <v>0</v>
      </c>
    </row>
    <row r="204" spans="1:6" x14ac:dyDescent="0.2">
      <c r="A204">
        <v>2019</v>
      </c>
      <c r="B204" t="str">
        <v>Coal Subcritical</v>
      </c>
      <c r="C204" s="11">
        <v>31328.17</v>
      </c>
      <c r="D204" t="str">
        <f ca="1"/>
        <v>Coal Subcritical</v>
      </c>
      <c r="E204" s="17">
        <f ca="1"/>
        <v>31328.17</v>
      </c>
      <c r="F204">
        <f ca="1"/>
        <v>0</v>
      </c>
    </row>
    <row r="205" spans="1:6" x14ac:dyDescent="0.2">
      <c r="A205">
        <v>2019</v>
      </c>
      <c r="B205" t="str">
        <v>Coal Supercritical</v>
      </c>
      <c r="C205" s="11">
        <v>3409</v>
      </c>
      <c r="D205" t="str">
        <f ca="1"/>
        <v>Coal Supercritical</v>
      </c>
      <c r="E205" s="17">
        <f ca="1"/>
        <v>3409</v>
      </c>
      <c r="F205">
        <f ca="1"/>
        <v>0</v>
      </c>
    </row>
    <row r="206" spans="1:6" x14ac:dyDescent="0.2">
      <c r="A206">
        <v>2019</v>
      </c>
      <c r="B206" t="str">
        <v>Diesel</v>
      </c>
      <c r="C206" s="11">
        <v>4779.68</v>
      </c>
      <c r="D206" t="str">
        <f ca="1"/>
        <v>Diesel Oil</v>
      </c>
      <c r="E206" s="17">
        <f ca="1"/>
        <v>4779.68</v>
      </c>
      <c r="F206">
        <f ca="1"/>
        <v>0</v>
      </c>
    </row>
    <row r="207" spans="1:6" x14ac:dyDescent="0.2">
      <c r="A207">
        <v>2019</v>
      </c>
      <c r="B207" t="str">
        <v>Gas Turbine</v>
      </c>
      <c r="C207" s="11">
        <v>5348.44</v>
      </c>
      <c r="D207" t="str">
        <f ca="1"/>
        <v>Natural gas based Gas Turbine</v>
      </c>
      <c r="E207" s="17">
        <f ca="1"/>
        <v>5348.44</v>
      </c>
      <c r="F207">
        <f ca="1"/>
        <v>0</v>
      </c>
    </row>
    <row r="208" spans="1:6" x14ac:dyDescent="0.2">
      <c r="A208">
        <v>2019</v>
      </c>
      <c r="B208" t="str">
        <v>Gas Engine</v>
      </c>
      <c r="C208" s="11">
        <v>2842.03</v>
      </c>
      <c r="D208" t="str">
        <f ca="1"/>
        <v>Gas Engine</v>
      </c>
      <c r="E208" s="17">
        <f ca="1"/>
        <v>2842.03</v>
      </c>
      <c r="F208">
        <f ca="1"/>
        <v>0</v>
      </c>
    </row>
    <row r="209" spans="1:6" x14ac:dyDescent="0.2">
      <c r="A209">
        <v>2019</v>
      </c>
      <c r="B209" t="str">
        <v>Gas Combined Cycle</v>
      </c>
      <c r="C209" s="11">
        <v>11669.54</v>
      </c>
      <c r="D209" t="str">
        <f ca="1"/>
        <v>Combined Cycle Gas Turbine</v>
      </c>
      <c r="E209" s="17">
        <f ca="1"/>
        <v>11669.54</v>
      </c>
      <c r="F209">
        <f ca="1"/>
        <v>0</v>
      </c>
    </row>
    <row r="210" spans="1:6" x14ac:dyDescent="0.2">
      <c r="A210">
        <v>2019</v>
      </c>
      <c r="B210" t="str">
        <v>Large Hydro</v>
      </c>
      <c r="C210" s="11">
        <v>5558.52</v>
      </c>
      <c r="D210" t="str">
        <f ca="1"/>
        <v>Large Hydro</v>
      </c>
      <c r="E210" s="17">
        <f ca="1"/>
        <v>5558.52</v>
      </c>
      <c r="F210">
        <f ca="1"/>
        <v>0</v>
      </c>
    </row>
    <row r="211" spans="1:6" x14ac:dyDescent="0.2">
      <c r="A211">
        <v>2019</v>
      </c>
      <c r="B211" t="str">
        <v>Small Hydro</v>
      </c>
      <c r="C211" s="11">
        <v>417.51</v>
      </c>
      <c r="D211" t="str">
        <f ca="1"/>
        <v>Small Hydro</v>
      </c>
      <c r="E211" s="17">
        <f ca="1"/>
        <v>417.51</v>
      </c>
      <c r="F211">
        <f ca="1"/>
        <v>0</v>
      </c>
    </row>
    <row r="212" spans="1:6" x14ac:dyDescent="0.2">
      <c r="A212">
        <v>2019</v>
      </c>
      <c r="B212" t="str">
        <v>Geothermal Flash</v>
      </c>
      <c r="C212" s="11">
        <v>2130.6999999999998</v>
      </c>
      <c r="D212" t="str">
        <f ca="1"/>
        <v>Geothermal</v>
      </c>
      <c r="E212" s="17">
        <f ca="1"/>
        <v>2130.6999999999998</v>
      </c>
      <c r="F212">
        <f ca="1"/>
        <v>0</v>
      </c>
    </row>
    <row r="213" spans="1:6" x14ac:dyDescent="0.2">
      <c r="A213">
        <v>2019</v>
      </c>
      <c r="B213" t="str">
        <v>Solar PV</v>
      </c>
      <c r="C213" s="11">
        <v>145.81</v>
      </c>
      <c r="D213" t="str">
        <f ca="1"/>
        <v>Solar PV</v>
      </c>
      <c r="E213" s="17">
        <f ca="1"/>
        <v>145.81</v>
      </c>
      <c r="F213">
        <f ca="1"/>
        <v>0</v>
      </c>
    </row>
    <row r="214" spans="1:6" x14ac:dyDescent="0.2">
      <c r="A214">
        <v>2019</v>
      </c>
      <c r="B214" t="str">
        <v>Wind Onshore</v>
      </c>
      <c r="C214" s="11">
        <v>154.31</v>
      </c>
      <c r="D214" t="str">
        <f ca="1"/>
        <v>Wind Turbine</v>
      </c>
      <c r="E214" s="17">
        <f ca="1"/>
        <v>154.31</v>
      </c>
      <c r="F214">
        <f ca="1"/>
        <v>0</v>
      </c>
    </row>
    <row r="215" spans="1:6" x14ac:dyDescent="0.2">
      <c r="A215">
        <v>2019</v>
      </c>
      <c r="B215" t="str">
        <v>Biomass Other</v>
      </c>
      <c r="C215" s="11">
        <v>1767.12</v>
      </c>
      <c r="D215" t="str">
        <f ca="1"/>
        <v>Biomass Other</v>
      </c>
      <c r="E215" s="17">
        <f ca="1"/>
        <v>1767.12</v>
      </c>
      <c r="F215">
        <f ca="1"/>
        <v>0</v>
      </c>
    </row>
    <row r="216" spans="1:6" x14ac:dyDescent="0.2">
      <c r="A216">
        <v>2019</v>
      </c>
      <c r="B216" t="str">
        <v>Biogas</v>
      </c>
      <c r="C216" s="11">
        <v>112.41</v>
      </c>
      <c r="D216" t="str">
        <f ca="1"/>
        <v>Biogas</v>
      </c>
      <c r="E216" s="17">
        <f ca="1"/>
        <v>112.41</v>
      </c>
      <c r="F216">
        <f ca="1"/>
        <v>0</v>
      </c>
    </row>
    <row r="217" spans="1:6" x14ac:dyDescent="0.2">
      <c r="A217">
        <v>2019</v>
      </c>
      <c r="B217" t="str">
        <v>Waste</v>
      </c>
      <c r="C217" s="11">
        <v>15.65</v>
      </c>
      <c r="D217" t="str">
        <f ca="1"/>
        <v>Waste to Energy</v>
      </c>
      <c r="E217" s="17">
        <f ca="1"/>
        <v>15.65</v>
      </c>
      <c r="F217">
        <f ca="1"/>
        <v>0</v>
      </c>
    </row>
    <row r="218" spans="1:6" x14ac:dyDescent="0.2">
      <c r="A218">
        <v>2020</v>
      </c>
      <c r="B218" t="str">
        <v>Coal Subcritical</v>
      </c>
      <c r="C218" s="11">
        <v>33258.86</v>
      </c>
      <c r="D218" t="str">
        <f ca="1"/>
        <v>Coal Subcritical</v>
      </c>
      <c r="E218" s="17">
        <f ca="1"/>
        <v>33258.86</v>
      </c>
      <c r="F218">
        <f ca="1"/>
        <v>0</v>
      </c>
    </row>
    <row r="219" spans="1:6" x14ac:dyDescent="0.2">
      <c r="A219">
        <v>2020</v>
      </c>
      <c r="B219" t="str">
        <v>Coal Supercritical</v>
      </c>
      <c r="C219" s="11">
        <v>3409</v>
      </c>
      <c r="D219" t="str">
        <f ca="1"/>
        <v>Coal Supercritical</v>
      </c>
      <c r="E219" s="17">
        <f ca="1"/>
        <v>3409</v>
      </c>
      <c r="F219">
        <f ca="1"/>
        <v>0</v>
      </c>
    </row>
    <row r="220" spans="1:6" x14ac:dyDescent="0.2">
      <c r="A220">
        <v>2020</v>
      </c>
      <c r="B220" t="str">
        <v>Diesel</v>
      </c>
      <c r="C220" s="11">
        <v>4863.53</v>
      </c>
      <c r="D220" t="str">
        <f ca="1"/>
        <v>Diesel Oil</v>
      </c>
      <c r="E220" s="17">
        <f ca="1"/>
        <v>4863.53</v>
      </c>
      <c r="F220">
        <f ca="1"/>
        <v>0</v>
      </c>
    </row>
    <row r="221" spans="1:6" x14ac:dyDescent="0.2">
      <c r="A221">
        <v>2020</v>
      </c>
      <c r="B221" t="str">
        <v>Gas Turbine</v>
      </c>
      <c r="C221" s="11">
        <v>5348.44</v>
      </c>
      <c r="D221" t="str">
        <f ca="1"/>
        <v>Natural gas based Gas Turbine</v>
      </c>
      <c r="E221" s="17">
        <f ca="1"/>
        <v>5348.44</v>
      </c>
      <c r="F221">
        <f ca="1"/>
        <v>0</v>
      </c>
    </row>
    <row r="222" spans="1:6" x14ac:dyDescent="0.2">
      <c r="A222">
        <v>2020</v>
      </c>
      <c r="B222" t="str">
        <v>Gas Engine</v>
      </c>
      <c r="C222" s="11">
        <v>3177.93</v>
      </c>
      <c r="D222" t="str">
        <f ca="1"/>
        <v>Gas Engine</v>
      </c>
      <c r="E222" s="17">
        <f ca="1"/>
        <v>3177.93</v>
      </c>
      <c r="F222">
        <f ca="1"/>
        <v>0</v>
      </c>
    </row>
    <row r="223" spans="1:6" x14ac:dyDescent="0.2">
      <c r="A223">
        <v>2020</v>
      </c>
      <c r="B223" t="str">
        <v>Gas Combined Cycle</v>
      </c>
      <c r="C223" s="11">
        <v>12235.71</v>
      </c>
      <c r="D223" t="str">
        <f ca="1"/>
        <v>Combined Cycle Gas Turbine</v>
      </c>
      <c r="E223" s="17">
        <f ca="1"/>
        <v>12235.71</v>
      </c>
      <c r="F223">
        <f ca="1"/>
        <v>0</v>
      </c>
    </row>
    <row r="224" spans="1:6" x14ac:dyDescent="0.2">
      <c r="A224">
        <v>2020</v>
      </c>
      <c r="B224" t="str">
        <v>Large Hydro</v>
      </c>
      <c r="C224" s="11">
        <v>5638.67</v>
      </c>
      <c r="D224" t="str">
        <f ca="1"/>
        <v>Large Hydro</v>
      </c>
      <c r="E224" s="17">
        <f ca="1"/>
        <v>5638.67</v>
      </c>
      <c r="F224">
        <f ca="1"/>
        <v>0</v>
      </c>
    </row>
    <row r="225" spans="1:6" x14ac:dyDescent="0.2">
      <c r="A225">
        <v>2020</v>
      </c>
      <c r="B225" t="str">
        <v>Small Hydro</v>
      </c>
      <c r="C225" s="11">
        <v>482.21</v>
      </c>
      <c r="D225" t="str">
        <f ca="1"/>
        <v>Small Hydro</v>
      </c>
      <c r="E225" s="17">
        <f ca="1"/>
        <v>482.21</v>
      </c>
      <c r="F225">
        <f ca="1"/>
        <v>0</v>
      </c>
    </row>
    <row r="226" spans="1:6" x14ac:dyDescent="0.2">
      <c r="A226">
        <v>2020</v>
      </c>
      <c r="B226" t="str">
        <v>Geothermal Flash</v>
      </c>
      <c r="C226" s="11">
        <v>2130.6999999999998</v>
      </c>
      <c r="D226" t="str">
        <f ca="1"/>
        <v>Geothermal</v>
      </c>
      <c r="E226" s="17">
        <f ca="1"/>
        <v>2130.6999999999998</v>
      </c>
      <c r="F226">
        <f ca="1"/>
        <v>0</v>
      </c>
    </row>
    <row r="227" spans="1:6" x14ac:dyDescent="0.2">
      <c r="A227">
        <v>2020</v>
      </c>
      <c r="B227" t="str">
        <v>Solar PV</v>
      </c>
      <c r="C227" s="11">
        <v>147.29</v>
      </c>
      <c r="D227" t="str">
        <f ca="1"/>
        <v>Solar PV</v>
      </c>
      <c r="E227" s="17">
        <f ca="1"/>
        <v>147.29000000000002</v>
      </c>
      <c r="F227">
        <f ca="1"/>
        <v>0</v>
      </c>
    </row>
    <row r="228" spans="1:6" x14ac:dyDescent="0.2">
      <c r="A228">
        <v>2020</v>
      </c>
      <c r="B228" t="str">
        <v>Wind Onshore</v>
      </c>
      <c r="C228" s="11">
        <v>153.83000000000001</v>
      </c>
      <c r="D228" t="str">
        <f ca="1"/>
        <v>Wind Turbine</v>
      </c>
      <c r="E228" s="17">
        <f ca="1"/>
        <v>154.31</v>
      </c>
      <c r="F228">
        <f ca="1"/>
        <v>0.5</v>
      </c>
    </row>
    <row r="229" spans="1:6" x14ac:dyDescent="0.2">
      <c r="A229">
        <v>2020</v>
      </c>
      <c r="B229" t="str">
        <v>Biomass Other</v>
      </c>
      <c r="C229" s="11">
        <v>1770.62</v>
      </c>
      <c r="D229" t="str">
        <f ca="1"/>
        <v>Biomass Other</v>
      </c>
      <c r="E229" s="17">
        <f ca="1"/>
        <v>1770.62</v>
      </c>
      <c r="F229">
        <f ca="1"/>
        <v>0</v>
      </c>
    </row>
    <row r="230" spans="1:6" x14ac:dyDescent="0.2">
      <c r="A230">
        <v>2020</v>
      </c>
      <c r="B230" t="str">
        <v>Biogas</v>
      </c>
      <c r="C230" s="11">
        <v>117.82</v>
      </c>
      <c r="D230" t="str">
        <f ca="1"/>
        <v>Biogas</v>
      </c>
      <c r="E230" s="17">
        <f ca="1"/>
        <v>117.82</v>
      </c>
      <c r="F230">
        <f ca="1"/>
        <v>0</v>
      </c>
    </row>
    <row r="231" spans="1:6" x14ac:dyDescent="0.2">
      <c r="A231">
        <v>2020</v>
      </c>
      <c r="B231" t="str">
        <v>Waste</v>
      </c>
      <c r="C231" s="11">
        <v>15.65</v>
      </c>
      <c r="D231" t="str">
        <f ca="1"/>
        <v>Waste to Energy</v>
      </c>
      <c r="E231" s="17">
        <f ca="1"/>
        <v>15.65</v>
      </c>
      <c r="F231">
        <f ca="1"/>
        <v>0</v>
      </c>
    </row>
    <row r="232" spans="1:6" x14ac:dyDescent="0.2">
      <c r="A232">
        <v>2021</v>
      </c>
      <c r="B232" t="str">
        <v>Coal Subcritical</v>
      </c>
      <c r="C232" s="11">
        <v>33627.360000000001</v>
      </c>
      <c r="D232" t="str">
        <f ca="1"/>
        <v>Coal Subcritical</v>
      </c>
      <c r="E232" s="17">
        <f ca="1"/>
        <v>33627.360000000001</v>
      </c>
      <c r="F232">
        <f ca="1"/>
        <v>0</v>
      </c>
    </row>
    <row r="233" spans="1:6" x14ac:dyDescent="0.2">
      <c r="A233">
        <v>2021</v>
      </c>
      <c r="B233" t="str">
        <v>Coal Supercritical</v>
      </c>
      <c r="C233" s="11">
        <v>3409</v>
      </c>
      <c r="D233" t="str">
        <f ca="1"/>
        <v>Coal Supercritical</v>
      </c>
      <c r="E233" s="17">
        <f ca="1"/>
        <v>3409</v>
      </c>
      <c r="F233">
        <f ca="1"/>
        <v>0</v>
      </c>
    </row>
    <row r="234" spans="1:6" x14ac:dyDescent="0.2">
      <c r="A234">
        <v>2021</v>
      </c>
      <c r="B234" t="str">
        <v>Diesel</v>
      </c>
      <c r="C234" s="11">
        <v>4986.58</v>
      </c>
      <c r="D234" t="str">
        <f ca="1"/>
        <v>Diesel Oil</v>
      </c>
      <c r="E234" s="17">
        <f ca="1"/>
        <v>4986.58</v>
      </c>
      <c r="F234">
        <f ca="1"/>
        <v>0</v>
      </c>
    </row>
    <row r="235" spans="1:6" x14ac:dyDescent="0.2">
      <c r="A235">
        <v>2021</v>
      </c>
      <c r="B235" t="str">
        <v>Gas Turbine</v>
      </c>
      <c r="C235" s="11">
        <v>5348.44</v>
      </c>
      <c r="D235" t="str">
        <f ca="1"/>
        <v>Natural gas based Gas Turbine</v>
      </c>
      <c r="E235" s="17">
        <f ca="1"/>
        <v>5348.44</v>
      </c>
      <c r="F235">
        <f ca="1"/>
        <v>0</v>
      </c>
    </row>
    <row r="236" spans="1:6" x14ac:dyDescent="0.2">
      <c r="A236">
        <v>2021</v>
      </c>
      <c r="B236" t="str">
        <v>Gas Engine</v>
      </c>
      <c r="C236" s="11">
        <v>3218.87</v>
      </c>
      <c r="D236" t="str">
        <f ca="1"/>
        <v>Gas Engine</v>
      </c>
      <c r="E236" s="17">
        <f ca="1"/>
        <v>3218.87</v>
      </c>
      <c r="F236">
        <f ca="1"/>
        <v>0</v>
      </c>
    </row>
    <row r="237" spans="1:6" x14ac:dyDescent="0.2">
      <c r="A237">
        <v>2021</v>
      </c>
      <c r="B237" t="str">
        <v>Gas Combined Cycle</v>
      </c>
      <c r="C237" s="11">
        <v>12411.51</v>
      </c>
      <c r="D237" t="str">
        <f ca="1"/>
        <v>Combined Cycle Gas Turbine</v>
      </c>
      <c r="E237" s="17">
        <f ca="1"/>
        <v>12411.51</v>
      </c>
      <c r="F237">
        <f ca="1"/>
        <v>0</v>
      </c>
    </row>
    <row r="238" spans="1:6" x14ac:dyDescent="0.2">
      <c r="A238">
        <v>2021</v>
      </c>
      <c r="B238" t="str">
        <v>Large Hydro</v>
      </c>
      <c r="C238" s="11">
        <v>5988.67</v>
      </c>
      <c r="D238" t="str">
        <f ca="1"/>
        <v>Large Hydro</v>
      </c>
      <c r="E238" s="17">
        <f ca="1"/>
        <v>5988.67</v>
      </c>
      <c r="F238">
        <f ca="1"/>
        <v>0</v>
      </c>
    </row>
    <row r="239" spans="1:6" x14ac:dyDescent="0.2">
      <c r="A239">
        <v>2021</v>
      </c>
      <c r="B239" t="str">
        <v>Small Hydro</v>
      </c>
      <c r="C239" s="11">
        <v>613.08000000000004</v>
      </c>
      <c r="D239" t="str">
        <f ca="1"/>
        <v>Small Hydro</v>
      </c>
      <c r="E239" s="17">
        <f ca="1"/>
        <v>613.07999999999993</v>
      </c>
      <c r="F239">
        <f ca="1"/>
        <v>0</v>
      </c>
    </row>
    <row r="240" spans="1:6" x14ac:dyDescent="0.2">
      <c r="A240">
        <v>2021</v>
      </c>
      <c r="B240" t="str">
        <v>Geothermal Flash</v>
      </c>
      <c r="C240" s="11">
        <v>2286.0500000000002</v>
      </c>
      <c r="D240" t="str">
        <f ca="1"/>
        <v>Geothermal</v>
      </c>
      <c r="E240" s="17">
        <f ca="1"/>
        <v>2286.0500000000002</v>
      </c>
      <c r="F240">
        <f ca="1"/>
        <v>0</v>
      </c>
    </row>
    <row r="241" spans="1:6" x14ac:dyDescent="0.2">
      <c r="A241">
        <v>2021</v>
      </c>
      <c r="B241" t="str">
        <v>Solar PV</v>
      </c>
      <c r="C241" s="11">
        <v>201.09</v>
      </c>
      <c r="D241" t="str">
        <f ca="1"/>
        <v>Solar PV</v>
      </c>
      <c r="E241" s="17">
        <f ca="1"/>
        <v>201.08999999999997</v>
      </c>
      <c r="F241">
        <f ca="1"/>
        <v>0</v>
      </c>
    </row>
    <row r="242" spans="1:6" x14ac:dyDescent="0.2">
      <c r="A242">
        <v>2021</v>
      </c>
      <c r="B242" t="str">
        <v>Wind Onshore</v>
      </c>
      <c r="C242" s="11">
        <v>154.31</v>
      </c>
      <c r="D242" t="str">
        <f ca="1"/>
        <v>Wind Turbine</v>
      </c>
      <c r="E242" s="17">
        <f ca="1"/>
        <v>154.31</v>
      </c>
      <c r="F242">
        <f ca="1"/>
        <v>0</v>
      </c>
    </row>
    <row r="243" spans="1:6" x14ac:dyDescent="0.2">
      <c r="A243">
        <v>2021</v>
      </c>
      <c r="B243" t="str">
        <v>Biomass Other</v>
      </c>
      <c r="C243" s="11">
        <v>2124.7399999999998</v>
      </c>
      <c r="D243" t="str">
        <f ca="1"/>
        <v>Biomass Other</v>
      </c>
      <c r="E243" s="17">
        <f ca="1"/>
        <v>2124.7400000000002</v>
      </c>
      <c r="F243">
        <f ca="1"/>
        <v>0</v>
      </c>
    </row>
    <row r="244" spans="1:6" x14ac:dyDescent="0.2">
      <c r="A244">
        <v>2021</v>
      </c>
      <c r="B244" t="str">
        <v>Biogas</v>
      </c>
      <c r="C244" s="11">
        <v>134.79</v>
      </c>
      <c r="D244" t="str">
        <f ca="1"/>
        <v>Biogas</v>
      </c>
      <c r="E244" s="17">
        <f ca="1"/>
        <v>134.79</v>
      </c>
      <c r="F244">
        <f ca="1"/>
        <v>0</v>
      </c>
    </row>
    <row r="245" spans="1:6" x14ac:dyDescent="0.2">
      <c r="A245">
        <v>2021</v>
      </c>
      <c r="B245" t="str">
        <v>Waste</v>
      </c>
      <c r="C245" s="11">
        <v>28.45</v>
      </c>
      <c r="D245" t="str">
        <f ca="1"/>
        <v>Waste to Energy</v>
      </c>
      <c r="E245" s="17">
        <f ca="1"/>
        <v>28.45</v>
      </c>
      <c r="F245">
        <f ca="1"/>
        <v>0</v>
      </c>
    </row>
    <row r="246" spans="1:6" x14ac:dyDescent="0.2">
      <c r="A246">
        <v>2022</v>
      </c>
      <c r="B246" t="str">
        <v>Coal Subcritical</v>
      </c>
      <c r="C246" s="11">
        <v>42635.26</v>
      </c>
      <c r="D246" t="str">
        <f ca="1"/>
        <v>Coal Subcritical</v>
      </c>
      <c r="E246" s="17">
        <f ca="1"/>
        <v>42605.26</v>
      </c>
      <c r="F246">
        <f ca="1"/>
        <v>30</v>
      </c>
    </row>
    <row r="247" spans="1:6" x14ac:dyDescent="0.2">
      <c r="A247">
        <v>2022</v>
      </c>
      <c r="B247" t="str">
        <v>Coal Supercritical</v>
      </c>
      <c r="C247" s="11">
        <v>3409</v>
      </c>
      <c r="D247" t="str">
        <f ca="1"/>
        <v>Coal Supercritical</v>
      </c>
      <c r="E247" s="17">
        <f ca="1"/>
        <v>3409</v>
      </c>
      <c r="F247">
        <f ca="1"/>
        <v>0</v>
      </c>
    </row>
    <row r="248" spans="1:6" x14ac:dyDescent="0.2">
      <c r="A248">
        <v>2022</v>
      </c>
      <c r="B248" t="str">
        <v>Diesel</v>
      </c>
      <c r="C248" s="11">
        <v>4352.09</v>
      </c>
      <c r="D248" t="str">
        <f ca="1"/>
        <v>Diesel Oil</v>
      </c>
      <c r="E248" s="17">
        <f ca="1"/>
        <v>4352.09</v>
      </c>
      <c r="F248">
        <f ca="1"/>
        <v>0</v>
      </c>
    </row>
    <row r="249" spans="1:6" x14ac:dyDescent="0.2">
      <c r="A249">
        <v>2022</v>
      </c>
      <c r="B249" t="str">
        <v>Gas Turbine</v>
      </c>
      <c r="C249" s="11">
        <v>4456.74</v>
      </c>
      <c r="D249" t="str">
        <f ca="1"/>
        <v>Natural gas based Gas Turbine</v>
      </c>
      <c r="E249" s="17">
        <f ca="1"/>
        <v>4456.74</v>
      </c>
      <c r="F249">
        <f ca="1"/>
        <v>0</v>
      </c>
    </row>
    <row r="250" spans="1:6" x14ac:dyDescent="0.2">
      <c r="A250">
        <v>2022</v>
      </c>
      <c r="B250" t="str">
        <v>Gas Engine</v>
      </c>
      <c r="C250" s="11">
        <v>2976.47</v>
      </c>
      <c r="D250" t="str">
        <f ca="1"/>
        <v>Gas Engine</v>
      </c>
      <c r="E250" s="17">
        <f ca="1"/>
        <v>2976.47</v>
      </c>
      <c r="F250">
        <f ca="1"/>
        <v>0</v>
      </c>
    </row>
    <row r="251" spans="1:6" x14ac:dyDescent="0.2">
      <c r="A251">
        <v>2022</v>
      </c>
      <c r="B251" t="str">
        <v>Gas Combined Cycle</v>
      </c>
      <c r="C251" s="11">
        <v>13397.82</v>
      </c>
      <c r="D251" t="str">
        <f ca="1"/>
        <v>Combined Cycle Gas Turbine</v>
      </c>
      <c r="E251" s="17">
        <f ca="1"/>
        <v>13397.82</v>
      </c>
      <c r="F251">
        <f ca="1"/>
        <v>0</v>
      </c>
    </row>
    <row r="252" spans="1:6" x14ac:dyDescent="0.2">
      <c r="A252">
        <v>2022</v>
      </c>
      <c r="B252" t="str">
        <v>Large Hydro</v>
      </c>
      <c r="C252" s="11">
        <v>5988.67</v>
      </c>
      <c r="D252" t="str">
        <f ca="1"/>
        <v>Large Hydro</v>
      </c>
      <c r="E252" s="17">
        <f ca="1"/>
        <v>5988.67</v>
      </c>
      <c r="F252">
        <f ca="1"/>
        <v>0</v>
      </c>
    </row>
    <row r="253" spans="1:6" x14ac:dyDescent="0.2">
      <c r="A253">
        <v>2022</v>
      </c>
      <c r="B253" t="str">
        <v>Small Hydro</v>
      </c>
      <c r="C253" s="11">
        <v>700.35</v>
      </c>
      <c r="D253" t="str">
        <f ca="1"/>
        <v>Small Hydro</v>
      </c>
      <c r="E253" s="17">
        <f ca="1"/>
        <v>700.34999999999991</v>
      </c>
      <c r="F253">
        <f ca="1"/>
        <v>0</v>
      </c>
    </row>
    <row r="254" spans="1:6" x14ac:dyDescent="0.2">
      <c r="A254">
        <v>2022</v>
      </c>
      <c r="B254" t="str">
        <v>Geothermal Flash</v>
      </c>
      <c r="C254" s="11">
        <v>2360.33</v>
      </c>
      <c r="D254" t="str">
        <f ca="1"/>
        <v>Geothermal</v>
      </c>
      <c r="E254" s="17">
        <f ca="1"/>
        <v>2360.33</v>
      </c>
      <c r="F254">
        <f ca="1"/>
        <v>0</v>
      </c>
    </row>
    <row r="255" spans="1:6" x14ac:dyDescent="0.2">
      <c r="A255">
        <v>2022</v>
      </c>
      <c r="B255" t="str">
        <v>Solar PV</v>
      </c>
      <c r="C255" s="11">
        <v>272.22000000000003</v>
      </c>
      <c r="D255" t="str">
        <f ca="1"/>
        <v>Solar PV</v>
      </c>
      <c r="E255" s="17">
        <f ca="1"/>
        <v>283.14</v>
      </c>
      <c r="F255">
        <f ca="1"/>
        <v>10.9</v>
      </c>
    </row>
    <row r="256" spans="1:6" x14ac:dyDescent="0.2">
      <c r="A256">
        <v>2022</v>
      </c>
      <c r="B256" t="str">
        <v>Wind Onshore</v>
      </c>
      <c r="C256" s="11">
        <v>154.31</v>
      </c>
      <c r="D256" t="str">
        <f ca="1"/>
        <v>Wind Turbine</v>
      </c>
      <c r="E256" s="17">
        <f ca="1"/>
        <v>154.31</v>
      </c>
      <c r="F256">
        <f ca="1"/>
        <v>0</v>
      </c>
    </row>
    <row r="257" spans="1:6" x14ac:dyDescent="0.2">
      <c r="A257">
        <v>2022</v>
      </c>
      <c r="B257" t="str">
        <v>Biomass Other</v>
      </c>
      <c r="C257" s="11">
        <v>2925.05</v>
      </c>
      <c r="D257" t="str">
        <f ca="1"/>
        <v>Biomass Other</v>
      </c>
      <c r="E257" s="17">
        <f ca="1"/>
        <v>2925.05</v>
      </c>
      <c r="F257">
        <f ca="1"/>
        <v>0</v>
      </c>
    </row>
    <row r="258" spans="1:6" x14ac:dyDescent="0.2">
      <c r="A258">
        <v>2022</v>
      </c>
      <c r="B258" t="str">
        <v>Biogas</v>
      </c>
      <c r="C258" s="11">
        <v>149.41</v>
      </c>
      <c r="D258" t="str">
        <f ca="1"/>
        <v>Biogas</v>
      </c>
      <c r="E258" s="17">
        <f ca="1"/>
        <v>149.41</v>
      </c>
      <c r="F258">
        <f ca="1"/>
        <v>0</v>
      </c>
    </row>
    <row r="259" spans="1:6" x14ac:dyDescent="0.2">
      <c r="A259">
        <v>2022</v>
      </c>
      <c r="B259" t="str">
        <v>Waste</v>
      </c>
      <c r="C259" s="11">
        <v>24.45</v>
      </c>
      <c r="D259" t="str">
        <f ca="1"/>
        <v>Waste to Energy</v>
      </c>
      <c r="E259" s="17">
        <f ca="1"/>
        <v>24.45</v>
      </c>
      <c r="F259">
        <f ca="1"/>
        <v>0</v>
      </c>
    </row>
    <row r="260" spans="1:6" x14ac:dyDescent="0.2">
      <c r="A260">
        <v>2023</v>
      </c>
      <c r="B260" t="str">
        <v>Coal Subcritical</v>
      </c>
      <c r="C260" s="11">
        <v>49756.37</v>
      </c>
      <c r="D260" t="str">
        <f ca="1"/>
        <v>Coal Subcritical</v>
      </c>
      <c r="E260" s="17">
        <f ca="1"/>
        <v>46347.37</v>
      </c>
      <c r="F260">
        <f ca="1"/>
        <v>3409</v>
      </c>
    </row>
    <row r="261" spans="1:6" x14ac:dyDescent="0.2">
      <c r="A261">
        <v>2023</v>
      </c>
      <c r="B261" t="str">
        <v>Coal Supercritical</v>
      </c>
      <c r="C261" s="11">
        <v>3942</v>
      </c>
      <c r="D261" t="str">
        <f ca="1"/>
        <v>Coal Supercritical</v>
      </c>
      <c r="E261" s="17">
        <f ca="1"/>
        <v>3409</v>
      </c>
      <c r="F261">
        <f ca="1"/>
        <v>533</v>
      </c>
    </row>
    <row r="262" spans="1:6" x14ac:dyDescent="0.2">
      <c r="A262">
        <v>2023</v>
      </c>
      <c r="B262" t="str">
        <v>Diesel</v>
      </c>
      <c r="C262" s="11">
        <v>4638.3100000000004</v>
      </c>
      <c r="D262" t="str">
        <f ca="1"/>
        <v>Diesel Oil</v>
      </c>
      <c r="E262" s="17">
        <f ca="1"/>
        <v>4638.3100000000004</v>
      </c>
      <c r="F262">
        <f ca="1"/>
        <v>0</v>
      </c>
    </row>
    <row r="263" spans="1:6" x14ac:dyDescent="0.2">
      <c r="A263">
        <v>2023</v>
      </c>
      <c r="B263" t="str">
        <v>Gas Turbine</v>
      </c>
      <c r="C263" s="11">
        <v>4453.2700000000004</v>
      </c>
      <c r="D263" t="str">
        <f ca="1"/>
        <v>Natural gas based Gas Turbine</v>
      </c>
      <c r="E263" s="17">
        <f ca="1"/>
        <v>4453.2700000000004</v>
      </c>
      <c r="F263">
        <f ca="1"/>
        <v>0</v>
      </c>
    </row>
    <row r="264" spans="1:6" x14ac:dyDescent="0.2">
      <c r="A264">
        <v>2023</v>
      </c>
      <c r="B264" t="str">
        <v>Gas Engine</v>
      </c>
      <c r="C264" s="11">
        <v>2689.32</v>
      </c>
      <c r="D264" t="str">
        <f ca="1"/>
        <v>Gas Engine</v>
      </c>
      <c r="E264" s="17">
        <f ca="1"/>
        <v>2689.32</v>
      </c>
      <c r="F264">
        <f ca="1"/>
        <v>0</v>
      </c>
    </row>
    <row r="265" spans="1:6" x14ac:dyDescent="0.2">
      <c r="A265">
        <v>2023</v>
      </c>
      <c r="B265" t="str">
        <v>Gas Combined Cycle</v>
      </c>
      <c r="C265" s="11">
        <v>16065.76</v>
      </c>
      <c r="D265" t="str">
        <f ca="1"/>
        <v>Combined Cycle Gas Turbine</v>
      </c>
      <c r="E265" s="17">
        <f ca="1"/>
        <v>16065.76</v>
      </c>
      <c r="F265">
        <f ca="1"/>
        <v>0</v>
      </c>
    </row>
    <row r="266" spans="1:6" x14ac:dyDescent="0.2">
      <c r="A266">
        <v>2023</v>
      </c>
      <c r="B266" t="str">
        <v>Large Hydro</v>
      </c>
      <c r="C266" s="11">
        <v>5610.07</v>
      </c>
      <c r="D266" t="str">
        <f ca="1"/>
        <v>Large Hydro</v>
      </c>
      <c r="E266" s="17">
        <f ca="1"/>
        <v>5610.07</v>
      </c>
      <c r="F266">
        <f ca="1"/>
        <v>0</v>
      </c>
    </row>
    <row r="267" spans="1:6" x14ac:dyDescent="0.2">
      <c r="A267">
        <v>2023</v>
      </c>
      <c r="B267" t="str">
        <v>Small Hydro</v>
      </c>
      <c r="C267" s="11">
        <v>959.57</v>
      </c>
      <c r="D267" t="str">
        <f ca="1"/>
        <v>Small Hydro</v>
      </c>
      <c r="E267" s="17">
        <f ca="1"/>
        <v>959.57</v>
      </c>
      <c r="F267">
        <f ca="1"/>
        <v>0</v>
      </c>
    </row>
    <row r="268" spans="1:6" x14ac:dyDescent="0.2">
      <c r="A268">
        <v>2023</v>
      </c>
      <c r="B268" t="str">
        <v>Geothermal Flash</v>
      </c>
      <c r="C268" s="11">
        <v>2597.5100000000002</v>
      </c>
      <c r="D268" t="str">
        <f ca="1"/>
        <v>Geothermal</v>
      </c>
      <c r="E268" s="17">
        <f ca="1"/>
        <v>2597.5100000000002</v>
      </c>
      <c r="F268">
        <f ca="1"/>
        <v>0</v>
      </c>
    </row>
    <row r="269" spans="1:6" x14ac:dyDescent="0.2">
      <c r="A269">
        <v>2023</v>
      </c>
      <c r="B269" t="str">
        <v>Solar PV</v>
      </c>
      <c r="C269" s="11">
        <v>589.04999999999995</v>
      </c>
      <c r="D269" t="str">
        <f ca="1"/>
        <v>Solar PV</v>
      </c>
      <c r="E269" s="17">
        <f ca="1"/>
        <v>599.97</v>
      </c>
      <c r="F269">
        <f ca="1"/>
        <v>10.9</v>
      </c>
    </row>
    <row r="270" spans="1:6" x14ac:dyDescent="0.2">
      <c r="A270">
        <v>2023</v>
      </c>
      <c r="B270" t="str">
        <v>Wind Onshore</v>
      </c>
      <c r="C270" s="11">
        <v>152.30000000000001</v>
      </c>
      <c r="D270" t="str">
        <f ca="1"/>
        <v>Wind Turbine</v>
      </c>
      <c r="E270" s="17">
        <f ca="1"/>
        <v>152.29999999999998</v>
      </c>
      <c r="F270">
        <f ca="1"/>
        <v>0</v>
      </c>
    </row>
    <row r="271" spans="1:6" x14ac:dyDescent="0.2">
      <c r="A271">
        <v>2023</v>
      </c>
      <c r="B271" t="str">
        <v>Biomass Other</v>
      </c>
      <c r="C271" s="11">
        <v>3201</v>
      </c>
      <c r="D271" t="str">
        <f ca="1"/>
        <v>Biomass Other</v>
      </c>
      <c r="E271" s="17">
        <f ca="1"/>
        <v>3201.01</v>
      </c>
      <c r="F271">
        <f ca="1"/>
        <v>0</v>
      </c>
    </row>
    <row r="272" spans="1:6" x14ac:dyDescent="0.2">
      <c r="A272">
        <v>2023</v>
      </c>
      <c r="B272" t="str">
        <v>Biogas</v>
      </c>
      <c r="C272" s="11">
        <v>155.93</v>
      </c>
      <c r="D272" t="str">
        <f ca="1"/>
        <v>Biogas</v>
      </c>
      <c r="E272" s="17">
        <f ca="1"/>
        <v>155.93</v>
      </c>
      <c r="F272">
        <f ca="1"/>
        <v>0</v>
      </c>
    </row>
    <row r="273" spans="1:6" x14ac:dyDescent="0.2">
      <c r="A273">
        <v>2023</v>
      </c>
      <c r="B273" t="str">
        <v>Waste</v>
      </c>
      <c r="C273" s="11">
        <v>36.47</v>
      </c>
      <c r="D273" t="str">
        <f ca="1"/>
        <v>Waste to Energy</v>
      </c>
      <c r="E273" s="17">
        <f ca="1"/>
        <v>36.47</v>
      </c>
      <c r="F273">
        <f ca="1"/>
        <v>0</v>
      </c>
    </row>
    <row r="274" spans="1:6" x14ac:dyDescent="0.2">
      <c r="A274">
        <v>2024</v>
      </c>
      <c r="B274" t="str">
        <v>Coal Subcritical</v>
      </c>
      <c r="C274" s="11">
        <v>54338.84</v>
      </c>
      <c r="D274" t="str">
        <f ca="1"/>
        <v>Coal Subcritical</v>
      </c>
      <c r="E274" s="17">
        <f ca="1"/>
        <v>50929.84</v>
      </c>
      <c r="F274">
        <f ca="1"/>
        <v>3409</v>
      </c>
    </row>
    <row r="275" spans="1:6" x14ac:dyDescent="0.2">
      <c r="A275">
        <v>2024</v>
      </c>
      <c r="B275" t="str">
        <v>Coal Supercritical</v>
      </c>
      <c r="C275" s="11">
        <v>4301</v>
      </c>
      <c r="D275" t="str">
        <f ca="1"/>
        <v>Coal Supercritical</v>
      </c>
      <c r="E275" s="17">
        <f ca="1"/>
        <v>3409</v>
      </c>
      <c r="F275">
        <f ca="1"/>
        <v>892</v>
      </c>
    </row>
    <row r="276" spans="1:6" x14ac:dyDescent="0.2">
      <c r="A276">
        <v>2024</v>
      </c>
      <c r="B276" t="str">
        <v>Diesel</v>
      </c>
      <c r="C276" s="11">
        <v>5819.28</v>
      </c>
      <c r="D276" t="str">
        <f ca="1"/>
        <v>Diesel Oil</v>
      </c>
      <c r="E276" s="17">
        <f ca="1"/>
        <v>5819.28</v>
      </c>
      <c r="F276">
        <f ca="1"/>
        <v>0</v>
      </c>
    </row>
    <row r="277" spans="1:6" x14ac:dyDescent="0.2">
      <c r="A277">
        <v>2024</v>
      </c>
      <c r="B277" t="str">
        <v>Gas Turbine</v>
      </c>
      <c r="C277" s="11">
        <v>4477.66</v>
      </c>
      <c r="D277" t="str">
        <f ca="1"/>
        <v>Natural gas based Gas Turbine</v>
      </c>
      <c r="E277" s="17">
        <f ca="1"/>
        <v>4477.66</v>
      </c>
      <c r="F277">
        <f ca="1"/>
        <v>0</v>
      </c>
    </row>
    <row r="278" spans="1:6" x14ac:dyDescent="0.2">
      <c r="A278">
        <v>2024</v>
      </c>
      <c r="B278" t="str">
        <v>Gas Engine</v>
      </c>
      <c r="C278" s="11">
        <v>2889.82</v>
      </c>
      <c r="D278" t="str">
        <f ca="1"/>
        <v>Gas Engine</v>
      </c>
      <c r="E278" s="17">
        <f ca="1"/>
        <v>2889.82</v>
      </c>
      <c r="F278">
        <f ca="1"/>
        <v>0</v>
      </c>
    </row>
    <row r="279" spans="1:6" x14ac:dyDescent="0.2">
      <c r="A279">
        <v>2024</v>
      </c>
      <c r="B279" t="str">
        <v>Gas Combined Cycle</v>
      </c>
      <c r="C279" s="11">
        <v>18798.41</v>
      </c>
      <c r="D279" t="str">
        <f ca="1"/>
        <v>Combined Cycle Gas Turbine</v>
      </c>
      <c r="E279" s="17">
        <f ca="1"/>
        <v>18798.41</v>
      </c>
      <c r="F279">
        <f ca="1"/>
        <v>0</v>
      </c>
    </row>
    <row r="280" spans="1:6" x14ac:dyDescent="0.2">
      <c r="A280">
        <v>2024</v>
      </c>
      <c r="B280" t="str">
        <v>Large Hydro</v>
      </c>
      <c r="C280" s="11">
        <v>6047.16</v>
      </c>
      <c r="D280" t="str">
        <f ca="1"/>
        <v>Large Hydro</v>
      </c>
      <c r="E280" s="17">
        <f ca="1"/>
        <v>6047.16</v>
      </c>
      <c r="F280">
        <f ca="1"/>
        <v>0</v>
      </c>
    </row>
    <row r="281" spans="1:6" x14ac:dyDescent="0.2">
      <c r="A281">
        <v>2024</v>
      </c>
      <c r="B281" t="str">
        <v>Small Hydro</v>
      </c>
      <c r="C281" s="11">
        <v>1005.31</v>
      </c>
      <c r="D281" t="str">
        <f ca="1"/>
        <v>Small Hydro</v>
      </c>
      <c r="E281" s="17">
        <f ca="1"/>
        <v>1005.3100000000001</v>
      </c>
      <c r="F281">
        <f ca="1"/>
        <v>0</v>
      </c>
    </row>
    <row r="282" spans="1:6" x14ac:dyDescent="0.2">
      <c r="A282">
        <v>2024</v>
      </c>
      <c r="B282" t="str">
        <v>Geothermal Flash</v>
      </c>
      <c r="C282" s="11">
        <v>2638.76</v>
      </c>
      <c r="D282" t="str">
        <f ca="1"/>
        <v>Geothermal</v>
      </c>
      <c r="E282" s="17">
        <f ca="1"/>
        <v>2638.76</v>
      </c>
      <c r="F282">
        <f ca="1"/>
        <v>0</v>
      </c>
    </row>
    <row r="283" spans="1:6" x14ac:dyDescent="0.2">
      <c r="A283">
        <v>2024</v>
      </c>
      <c r="B283" t="str">
        <v>Solar PV</v>
      </c>
      <c r="C283" s="11">
        <v>898.54</v>
      </c>
      <c r="D283" t="str">
        <f ca="1"/>
        <v>Solar PV</v>
      </c>
      <c r="E283" s="17">
        <f ca="1"/>
        <v>909.43</v>
      </c>
      <c r="F283">
        <f ca="1"/>
        <v>10.9</v>
      </c>
    </row>
    <row r="284" spans="1:6" x14ac:dyDescent="0.2">
      <c r="A284">
        <v>2024</v>
      </c>
      <c r="B284" t="str">
        <v>Wind Onshore</v>
      </c>
      <c r="C284" s="11">
        <v>152.30000000000001</v>
      </c>
      <c r="D284" t="str">
        <f ca="1"/>
        <v>Wind Turbine</v>
      </c>
      <c r="E284" s="17">
        <f ca="1"/>
        <v>152.29999999999998</v>
      </c>
      <c r="F284">
        <f ca="1"/>
        <v>0</v>
      </c>
    </row>
    <row r="285" spans="1:6" x14ac:dyDescent="0.2">
      <c r="A285">
        <v>2024</v>
      </c>
      <c r="B285" t="str">
        <v>Biomass Other</v>
      </c>
      <c r="C285" s="11">
        <v>2906.36</v>
      </c>
      <c r="D285" t="str">
        <f ca="1"/>
        <v>Biomass Other</v>
      </c>
      <c r="E285" s="17">
        <f ca="1"/>
        <v>2906.36</v>
      </c>
      <c r="F285">
        <f ca="1"/>
        <v>0</v>
      </c>
    </row>
    <row r="286" spans="1:6" x14ac:dyDescent="0.2">
      <c r="A286">
        <v>2024</v>
      </c>
      <c r="B286" t="str">
        <v>Biogas</v>
      </c>
      <c r="C286" s="11">
        <v>157.25</v>
      </c>
      <c r="D286" t="str">
        <f ca="1"/>
        <v>Biogas</v>
      </c>
      <c r="E286" s="17">
        <f ca="1"/>
        <v>157.25</v>
      </c>
      <c r="F286">
        <f ca="1"/>
        <v>0</v>
      </c>
    </row>
    <row r="287" spans="1:6" x14ac:dyDescent="0.2">
      <c r="A287">
        <v>2024</v>
      </c>
      <c r="B287" t="str">
        <v>Waste</v>
      </c>
      <c r="C287" s="11">
        <v>36.47</v>
      </c>
      <c r="D287" t="str">
        <f ca="1"/>
        <v>Waste to Energy</v>
      </c>
      <c r="E287" s="17">
        <f ca="1"/>
        <v>36.47</v>
      </c>
      <c r="F287">
        <f ca="1"/>
        <v>0</v>
      </c>
    </row>
  </sheetData>
  <dataValidations count="1">
    <dataValidation type="list" allowBlank="1" showInputMessage="1" showErrorMessage="1" sqref="B2" xr:uid="{30E2C21E-1269-4C5F-83B4-8BEFC63DE88A}">
      <formula1>"Existing Capacity, Historical Production"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F6E96F-9037-4A89-B96F-A7F7433DEFE8}">
          <x14:formula1>
            <xm:f>Mapping!$N$4:$N$13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F088-B97B-424F-B0DB-1F86EBC3B5E5}">
  <dimension ref="B2:N42"/>
  <sheetViews>
    <sheetView workbookViewId="0">
      <selection activeCell="B21" sqref="B21"/>
    </sheetView>
  </sheetViews>
  <sheetFormatPr defaultRowHeight="14.25" x14ac:dyDescent="0.2"/>
  <cols>
    <col min="2" max="2" width="27" bestFit="1" customWidth="1"/>
    <col min="3" max="3" width="9.375" customWidth="1"/>
    <col min="4" max="4" width="16.75" bestFit="1" customWidth="1"/>
  </cols>
  <sheetData>
    <row r="2" spans="2:14" x14ac:dyDescent="0.2">
      <c r="C2" t="str" cm="1">
        <f t="array" ref="C2:L2">TRANSPOSE(N4:N13)</f>
        <v>Brunei</v>
      </c>
      <c r="D2" t="str">
        <v>Cambodia</v>
      </c>
      <c r="E2" t="str">
        <v>Indonesia</v>
      </c>
      <c r="F2" t="str">
        <v>Laos</v>
      </c>
      <c r="G2" t="str">
        <v>Malaysia</v>
      </c>
      <c r="H2" t="str">
        <v>Myanmar</v>
      </c>
      <c r="I2" t="str">
        <v>Philippines</v>
      </c>
      <c r="J2" t="str">
        <v>Singapore</v>
      </c>
      <c r="K2" t="str">
        <v>Thailand</v>
      </c>
      <c r="L2" t="str">
        <v>Vietnam</v>
      </c>
    </row>
    <row r="3" spans="2:14" ht="15" x14ac:dyDescent="0.25">
      <c r="B3" t="str" cm="1">
        <f t="array" ref="B3:B42">_xlfn.LET(_xlpm.val,_xlfn.UNIQUE(_xlfn.TEXTAFTER(leap[Branch Path],"\",3)),_xlfn._xlws.SORT(_xlfn._xlws.FILTER(_xlpm.val,NOT(ISNUMBER(SEARCH("_",_xlpm.val))))))</f>
        <v>Bioenergy with CCS</v>
      </c>
      <c r="C3" t="s">
        <v>13</v>
      </c>
      <c r="D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N3" s="6" t="s">
        <v>0</v>
      </c>
    </row>
    <row r="4" spans="2:14" x14ac:dyDescent="0.2">
      <c r="B4" t="str">
        <v>Biogas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13</v>
      </c>
      <c r="I4" t="s">
        <v>13</v>
      </c>
      <c r="J4" t="s">
        <v>13</v>
      </c>
      <c r="K4" t="s">
        <v>14</v>
      </c>
      <c r="L4" t="s">
        <v>13</v>
      </c>
      <c r="N4" t="s">
        <v>15</v>
      </c>
    </row>
    <row r="5" spans="2:14" x14ac:dyDescent="0.2">
      <c r="B5" t="str">
        <v>Biomass Gasification</v>
      </c>
      <c r="C5" t="s">
        <v>13</v>
      </c>
      <c r="D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16</v>
      </c>
      <c r="L5" t="s">
        <v>13</v>
      </c>
      <c r="N5" t="s">
        <v>17</v>
      </c>
    </row>
    <row r="6" spans="2:14" x14ac:dyDescent="0.2">
      <c r="B6" t="str">
        <v>Biomass Other</v>
      </c>
      <c r="C6" t="s">
        <v>13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13</v>
      </c>
      <c r="K6" t="s">
        <v>18</v>
      </c>
      <c r="L6" t="s">
        <v>18</v>
      </c>
      <c r="N6" t="s">
        <v>19</v>
      </c>
    </row>
    <row r="7" spans="2:14" x14ac:dyDescent="0.2">
      <c r="B7" t="str">
        <v>CAES</v>
      </c>
      <c r="C7" t="s">
        <v>13</v>
      </c>
      <c r="D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N7" t="s">
        <v>20</v>
      </c>
    </row>
    <row r="8" spans="2:14" x14ac:dyDescent="0.2">
      <c r="B8" t="str">
        <v>Coal IGCC</v>
      </c>
      <c r="C8" t="s">
        <v>21</v>
      </c>
      <c r="D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N8" t="s">
        <v>22</v>
      </c>
    </row>
    <row r="9" spans="2:14" x14ac:dyDescent="0.2">
      <c r="B9" t="str">
        <v>Coal IGCC with CCS</v>
      </c>
      <c r="C9" t="s">
        <v>13</v>
      </c>
      <c r="D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N9" t="s">
        <v>23</v>
      </c>
    </row>
    <row r="10" spans="2:14" x14ac:dyDescent="0.2">
      <c r="B10" t="str">
        <v>Coal Subcritical</v>
      </c>
      <c r="C10" t="s">
        <v>13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13</v>
      </c>
      <c r="K10" t="s">
        <v>24</v>
      </c>
      <c r="L10" t="s">
        <v>24</v>
      </c>
      <c r="N10" t="s">
        <v>25</v>
      </c>
    </row>
    <row r="11" spans="2:14" x14ac:dyDescent="0.2">
      <c r="B11" t="str">
        <v>Coal Supercritical</v>
      </c>
      <c r="C11" t="s">
        <v>13</v>
      </c>
      <c r="D11" t="s">
        <v>13</v>
      </c>
      <c r="E11" t="s">
        <v>26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  <c r="N11" t="s">
        <v>27</v>
      </c>
    </row>
    <row r="12" spans="2:14" x14ac:dyDescent="0.2">
      <c r="B12" t="str">
        <v>Coal Supercritical CCS</v>
      </c>
      <c r="C12" t="s">
        <v>13</v>
      </c>
      <c r="D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  <c r="N12" t="s">
        <v>28</v>
      </c>
    </row>
    <row r="13" spans="2:14" x14ac:dyDescent="0.2">
      <c r="B13" t="str">
        <v>Coal Ultrasupercritical</v>
      </c>
      <c r="C13" t="s">
        <v>13</v>
      </c>
      <c r="D13" t="s">
        <v>13</v>
      </c>
      <c r="F13" t="s">
        <v>13</v>
      </c>
      <c r="G13" t="s">
        <v>29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  <c r="N13" t="s">
        <v>1</v>
      </c>
    </row>
    <row r="14" spans="2:14" x14ac:dyDescent="0.2">
      <c r="B14" t="str">
        <v>Coal Ultrasupercritical CCS</v>
      </c>
      <c r="C14" t="s">
        <v>13</v>
      </c>
      <c r="D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</row>
    <row r="15" spans="2:14" x14ac:dyDescent="0.2">
      <c r="B15" t="str">
        <v>Diesel</v>
      </c>
      <c r="C15" t="s">
        <v>30</v>
      </c>
      <c r="D15" t="s">
        <v>30</v>
      </c>
      <c r="E15" t="s">
        <v>30</v>
      </c>
      <c r="F15" t="s">
        <v>13</v>
      </c>
      <c r="G15" t="s">
        <v>30</v>
      </c>
      <c r="H15" t="s">
        <v>30</v>
      </c>
      <c r="I15" t="s">
        <v>30</v>
      </c>
      <c r="J15" t="s">
        <v>13</v>
      </c>
      <c r="K15" t="s">
        <v>30</v>
      </c>
      <c r="L15" t="s">
        <v>30</v>
      </c>
    </row>
    <row r="16" spans="2:14" x14ac:dyDescent="0.2">
      <c r="B16" t="str">
        <v>Direct Air Capture</v>
      </c>
      <c r="C16" t="s">
        <v>13</v>
      </c>
      <c r="D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  <c r="L16" t="s">
        <v>13</v>
      </c>
    </row>
    <row r="17" spans="2:12" x14ac:dyDescent="0.2">
      <c r="B17" t="str">
        <v>Fuel Oil</v>
      </c>
      <c r="C17" t="s">
        <v>13</v>
      </c>
      <c r="D17" t="s">
        <v>31</v>
      </c>
      <c r="F17" t="s">
        <v>13</v>
      </c>
      <c r="G17" t="s">
        <v>13</v>
      </c>
      <c r="H17" t="s">
        <v>13</v>
      </c>
      <c r="I17" t="s">
        <v>13</v>
      </c>
      <c r="J17" t="s">
        <v>31</v>
      </c>
      <c r="K17" t="s">
        <v>31</v>
      </c>
      <c r="L17" t="s">
        <v>13</v>
      </c>
    </row>
    <row r="18" spans="2:12" x14ac:dyDescent="0.2">
      <c r="B18" t="str">
        <v>Gas Combined Cycle</v>
      </c>
      <c r="C18" t="s">
        <v>32</v>
      </c>
      <c r="D18" t="s">
        <v>13</v>
      </c>
      <c r="E18" t="s">
        <v>32</v>
      </c>
      <c r="F18" t="s">
        <v>13</v>
      </c>
      <c r="G18" t="s">
        <v>32</v>
      </c>
      <c r="H18" t="s">
        <v>33</v>
      </c>
      <c r="I18" t="s">
        <v>32</v>
      </c>
      <c r="J18" t="s">
        <v>32</v>
      </c>
      <c r="K18" t="s">
        <v>32</v>
      </c>
      <c r="L18" t="s">
        <v>32</v>
      </c>
    </row>
    <row r="19" spans="2:12" x14ac:dyDescent="0.2">
      <c r="B19" t="str">
        <v>Gas Combined Cycle with CCS</v>
      </c>
      <c r="C19" t="s">
        <v>13</v>
      </c>
      <c r="D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K19" t="s">
        <v>13</v>
      </c>
      <c r="L19" t="s">
        <v>13</v>
      </c>
    </row>
    <row r="20" spans="2:12" x14ac:dyDescent="0.2">
      <c r="B20" t="str">
        <v>Gas Engine</v>
      </c>
      <c r="C20" t="s">
        <v>13</v>
      </c>
      <c r="D20" t="s">
        <v>13</v>
      </c>
      <c r="E20" t="s">
        <v>34</v>
      </c>
      <c r="F20" t="s">
        <v>13</v>
      </c>
      <c r="G20" t="s">
        <v>13</v>
      </c>
      <c r="H20" t="s">
        <v>35</v>
      </c>
      <c r="I20" t="s">
        <v>13</v>
      </c>
      <c r="J20" t="s">
        <v>13</v>
      </c>
      <c r="K20" t="s">
        <v>13</v>
      </c>
      <c r="L20" t="s">
        <v>13</v>
      </c>
    </row>
    <row r="21" spans="2:12" x14ac:dyDescent="0.2">
      <c r="B21" t="str">
        <v>Gas Steam</v>
      </c>
      <c r="C21" t="s">
        <v>13</v>
      </c>
      <c r="D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</row>
    <row r="22" spans="2:12" x14ac:dyDescent="0.2">
      <c r="B22" t="str">
        <v>Gas Turbine</v>
      </c>
      <c r="C22" t="s">
        <v>36</v>
      </c>
      <c r="D22" t="s">
        <v>13</v>
      </c>
      <c r="E22" t="s">
        <v>36</v>
      </c>
      <c r="F22" t="s">
        <v>13</v>
      </c>
      <c r="G22" t="s">
        <v>13</v>
      </c>
      <c r="H22" t="s">
        <v>37</v>
      </c>
      <c r="I22" t="s">
        <v>13</v>
      </c>
      <c r="J22" t="s">
        <v>36</v>
      </c>
      <c r="K22" t="s">
        <v>13</v>
      </c>
      <c r="L22" t="s">
        <v>13</v>
      </c>
    </row>
    <row r="23" spans="2:12" x14ac:dyDescent="0.2">
      <c r="B23" t="str">
        <v>Geothermal Flash</v>
      </c>
      <c r="C23" t="s">
        <v>13</v>
      </c>
      <c r="D23" t="s">
        <v>13</v>
      </c>
      <c r="E23" t="s">
        <v>38</v>
      </c>
      <c r="F23" t="s">
        <v>13</v>
      </c>
      <c r="G23" t="s">
        <v>13</v>
      </c>
      <c r="I23" t="s">
        <v>38</v>
      </c>
      <c r="J23" t="s">
        <v>13</v>
      </c>
      <c r="K23" t="s">
        <v>38</v>
      </c>
      <c r="L23" t="s">
        <v>13</v>
      </c>
    </row>
    <row r="24" spans="2:12" x14ac:dyDescent="0.2">
      <c r="B24" t="str">
        <v>Geothermal ORC</v>
      </c>
      <c r="C24" t="s">
        <v>13</v>
      </c>
      <c r="D24" t="s">
        <v>13</v>
      </c>
      <c r="F24" t="s">
        <v>13</v>
      </c>
      <c r="G24" t="s">
        <v>13</v>
      </c>
      <c r="I24" t="s">
        <v>13</v>
      </c>
      <c r="J24" t="s">
        <v>13</v>
      </c>
      <c r="K24" t="s">
        <v>13</v>
      </c>
      <c r="L24" t="s">
        <v>13</v>
      </c>
    </row>
    <row r="25" spans="2:12" x14ac:dyDescent="0.2">
      <c r="B25" t="str">
        <v>H2 Fuel Cell</v>
      </c>
      <c r="C25" t="s">
        <v>13</v>
      </c>
      <c r="D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13</v>
      </c>
      <c r="L25" t="s">
        <v>13</v>
      </c>
    </row>
    <row r="26" spans="2:12" x14ac:dyDescent="0.2">
      <c r="B26" t="str">
        <v>Large Hydro</v>
      </c>
      <c r="C26" t="s">
        <v>13</v>
      </c>
      <c r="D26" t="s">
        <v>39</v>
      </c>
      <c r="E26" t="s">
        <v>39</v>
      </c>
      <c r="F26" t="s">
        <v>39</v>
      </c>
      <c r="G26" t="s">
        <v>39</v>
      </c>
      <c r="H26" t="s">
        <v>39</v>
      </c>
      <c r="I26" t="s">
        <v>39</v>
      </c>
      <c r="J26" t="s">
        <v>13</v>
      </c>
      <c r="K26" t="s">
        <v>39</v>
      </c>
      <c r="L26" t="s">
        <v>39</v>
      </c>
    </row>
    <row r="27" spans="2:12" x14ac:dyDescent="0.2">
      <c r="B27" t="str">
        <v>Lithium Ion Batteries</v>
      </c>
      <c r="C27" t="s">
        <v>13</v>
      </c>
      <c r="D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13</v>
      </c>
    </row>
    <row r="28" spans="2:12" x14ac:dyDescent="0.2">
      <c r="B28" t="str">
        <v>Nuclear LWR</v>
      </c>
      <c r="C28" t="s">
        <v>13</v>
      </c>
      <c r="D28" t="s">
        <v>13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  <c r="K28" t="s">
        <v>13</v>
      </c>
      <c r="L28" t="s">
        <v>13</v>
      </c>
    </row>
    <row r="29" spans="2:12" x14ac:dyDescent="0.2">
      <c r="B29" t="str">
        <v>Nuclear SFR</v>
      </c>
      <c r="C29" t="s">
        <v>13</v>
      </c>
      <c r="D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  <c r="K29" t="s">
        <v>13</v>
      </c>
      <c r="L29" t="s">
        <v>13</v>
      </c>
    </row>
    <row r="30" spans="2:12" x14ac:dyDescent="0.2">
      <c r="B30" t="str">
        <v>Nuclear SMR</v>
      </c>
      <c r="C30" t="s">
        <v>13</v>
      </c>
      <c r="D30" t="s">
        <v>13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  <c r="K30" t="s">
        <v>13</v>
      </c>
      <c r="L30" t="s">
        <v>13</v>
      </c>
    </row>
    <row r="31" spans="2:12" x14ac:dyDescent="0.2">
      <c r="B31" t="str">
        <v>Pumped Hydro</v>
      </c>
      <c r="C31" t="s">
        <v>13</v>
      </c>
      <c r="D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  <c r="K31" t="s">
        <v>40</v>
      </c>
      <c r="L31" t="s">
        <v>13</v>
      </c>
    </row>
    <row r="32" spans="2:12" x14ac:dyDescent="0.2">
      <c r="B32" t="str">
        <v>Small Hydro</v>
      </c>
      <c r="C32" t="s">
        <v>13</v>
      </c>
      <c r="D32" t="s">
        <v>13</v>
      </c>
      <c r="E32" t="s">
        <v>41</v>
      </c>
      <c r="F32" t="s">
        <v>13</v>
      </c>
      <c r="G32" t="s">
        <v>13</v>
      </c>
      <c r="H32" t="s">
        <v>41</v>
      </c>
      <c r="I32" t="s">
        <v>13</v>
      </c>
      <c r="J32" t="s">
        <v>13</v>
      </c>
      <c r="K32" t="s">
        <v>13</v>
      </c>
      <c r="L32" t="s">
        <v>13</v>
      </c>
    </row>
    <row r="33" spans="2:12" x14ac:dyDescent="0.2">
      <c r="B33" t="str">
        <v>Solar CSP</v>
      </c>
      <c r="C33" t="s">
        <v>13</v>
      </c>
      <c r="D33" t="s">
        <v>13</v>
      </c>
    </row>
    <row r="34" spans="2:12" x14ac:dyDescent="0.2">
      <c r="B34" t="str">
        <v>Solar Floating</v>
      </c>
      <c r="C34" t="s">
        <v>13</v>
      </c>
      <c r="D34" t="s">
        <v>13</v>
      </c>
      <c r="G34" t="s">
        <v>13</v>
      </c>
      <c r="H34" t="s">
        <v>13</v>
      </c>
      <c r="I34" t="s">
        <v>13</v>
      </c>
      <c r="J34" t="s">
        <v>13</v>
      </c>
      <c r="K34" t="s">
        <v>13</v>
      </c>
      <c r="L34" t="s">
        <v>13</v>
      </c>
    </row>
    <row r="35" spans="2:12" x14ac:dyDescent="0.2">
      <c r="B35" t="str">
        <v>Solar PV</v>
      </c>
      <c r="C35" t="s">
        <v>42</v>
      </c>
      <c r="D35" t="s">
        <v>42</v>
      </c>
      <c r="E35" t="s">
        <v>42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  <c r="L35" t="s">
        <v>42</v>
      </c>
    </row>
    <row r="36" spans="2:12" x14ac:dyDescent="0.2">
      <c r="B36" t="str">
        <v>Tidal</v>
      </c>
      <c r="C36" t="s">
        <v>13</v>
      </c>
      <c r="D36" t="s">
        <v>13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  <c r="K36" t="s">
        <v>13</v>
      </c>
      <c r="L36" t="s">
        <v>13</v>
      </c>
    </row>
    <row r="37" spans="2:12" x14ac:dyDescent="0.2">
      <c r="B37" t="str">
        <v>Unmet Load</v>
      </c>
      <c r="C37" t="s">
        <v>13</v>
      </c>
      <c r="D37" t="s">
        <v>13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  <c r="K37" t="s">
        <v>13</v>
      </c>
      <c r="L37" t="s">
        <v>13</v>
      </c>
    </row>
    <row r="38" spans="2:12" x14ac:dyDescent="0.2">
      <c r="B38" t="str">
        <v>VRB Flow Batteries</v>
      </c>
      <c r="C38" t="s">
        <v>13</v>
      </c>
      <c r="D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13</v>
      </c>
      <c r="L38" t="s">
        <v>13</v>
      </c>
    </row>
    <row r="39" spans="2:12" x14ac:dyDescent="0.2">
      <c r="B39" t="str">
        <v>Waste</v>
      </c>
      <c r="C39" t="s">
        <v>13</v>
      </c>
      <c r="D39" t="s">
        <v>13</v>
      </c>
      <c r="E39" t="s">
        <v>43</v>
      </c>
      <c r="F39" t="s">
        <v>13</v>
      </c>
      <c r="G39" t="s">
        <v>13</v>
      </c>
      <c r="H39" t="s">
        <v>13</v>
      </c>
      <c r="I39" t="s">
        <v>13</v>
      </c>
      <c r="J39" t="s">
        <v>43</v>
      </c>
      <c r="K39" t="s">
        <v>43</v>
      </c>
      <c r="L39" t="s">
        <v>13</v>
      </c>
    </row>
    <row r="40" spans="2:12" x14ac:dyDescent="0.2">
      <c r="B40" t="str">
        <v>Wave</v>
      </c>
      <c r="C40" t="s">
        <v>13</v>
      </c>
      <c r="D40" t="s">
        <v>13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  <c r="K40" t="s">
        <v>13</v>
      </c>
      <c r="L40" t="s">
        <v>13</v>
      </c>
    </row>
    <row r="41" spans="2:12" x14ac:dyDescent="0.2">
      <c r="B41" t="str">
        <v>Wind Offshore</v>
      </c>
      <c r="C41" t="s">
        <v>13</v>
      </c>
      <c r="D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  <c r="K41" t="s">
        <v>13</v>
      </c>
      <c r="L41" t="s">
        <v>13</v>
      </c>
    </row>
    <row r="42" spans="2:12" x14ac:dyDescent="0.2">
      <c r="B42" t="str">
        <v>Wind Onshore</v>
      </c>
      <c r="C42" t="s">
        <v>13</v>
      </c>
      <c r="D42" t="s">
        <v>13</v>
      </c>
      <c r="E42" t="s">
        <v>44</v>
      </c>
      <c r="F42" t="s">
        <v>13</v>
      </c>
      <c r="G42" t="s">
        <v>13</v>
      </c>
      <c r="H42" t="s">
        <v>44</v>
      </c>
      <c r="I42" t="s">
        <v>44</v>
      </c>
      <c r="J42" t="s">
        <v>13</v>
      </c>
      <c r="K42" t="s">
        <v>44</v>
      </c>
      <c r="L4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44E7-4465-4B12-9EE1-6562CE7C4F3C}">
  <dimension ref="A1:V34"/>
  <sheetViews>
    <sheetView workbookViewId="0">
      <selection activeCell="V1" sqref="V1"/>
    </sheetView>
  </sheetViews>
  <sheetFormatPr defaultRowHeight="14.25" x14ac:dyDescent="0.2"/>
  <cols>
    <col min="1" max="1" width="26.875" bestFit="1" customWidth="1"/>
    <col min="2" max="2" width="6.5" bestFit="1" customWidth="1"/>
    <col min="3" max="22" width="6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67</v>
      </c>
      <c r="P2">
        <v>91654</v>
      </c>
      <c r="Q2">
        <v>120157</v>
      </c>
      <c r="R2">
        <v>123182</v>
      </c>
      <c r="S2">
        <v>118999</v>
      </c>
      <c r="T2">
        <v>104541</v>
      </c>
      <c r="U2">
        <v>130191</v>
      </c>
      <c r="V2">
        <v>156782</v>
      </c>
    </row>
    <row r="3" spans="1:22" x14ac:dyDescent="0.2">
      <c r="A3" t="s">
        <v>26</v>
      </c>
      <c r="B3" t="s">
        <v>67</v>
      </c>
    </row>
    <row r="4" spans="1:22" x14ac:dyDescent="0.2">
      <c r="A4" t="s">
        <v>29</v>
      </c>
      <c r="B4" t="s">
        <v>67</v>
      </c>
    </row>
    <row r="5" spans="1:22" x14ac:dyDescent="0.2">
      <c r="A5" t="s">
        <v>68</v>
      </c>
      <c r="B5" t="s">
        <v>67</v>
      </c>
    </row>
    <row r="6" spans="1:22" x14ac:dyDescent="0.2">
      <c r="A6" t="s">
        <v>21</v>
      </c>
      <c r="B6" t="s">
        <v>67</v>
      </c>
    </row>
    <row r="7" spans="1:22" x14ac:dyDescent="0.2">
      <c r="A7" t="s">
        <v>69</v>
      </c>
      <c r="B7" t="s">
        <v>67</v>
      </c>
    </row>
    <row r="8" spans="1:22" x14ac:dyDescent="0.2">
      <c r="A8" t="s">
        <v>70</v>
      </c>
      <c r="B8" t="s">
        <v>67</v>
      </c>
    </row>
    <row r="9" spans="1:22" x14ac:dyDescent="0.2">
      <c r="A9" t="s">
        <v>30</v>
      </c>
      <c r="B9" t="s">
        <v>67</v>
      </c>
      <c r="P9">
        <v>751</v>
      </c>
      <c r="Q9">
        <v>2213</v>
      </c>
      <c r="R9">
        <v>15</v>
      </c>
      <c r="S9">
        <v>4</v>
      </c>
      <c r="T9">
        <v>22</v>
      </c>
      <c r="U9">
        <v>29</v>
      </c>
      <c r="V9">
        <v>25</v>
      </c>
    </row>
    <row r="10" spans="1:22" x14ac:dyDescent="0.2">
      <c r="A10" t="s">
        <v>31</v>
      </c>
      <c r="B10" t="s">
        <v>67</v>
      </c>
      <c r="R10">
        <v>1041</v>
      </c>
      <c r="S10">
        <v>2</v>
      </c>
      <c r="T10">
        <v>56</v>
      </c>
      <c r="U10">
        <v>1248</v>
      </c>
      <c r="V10">
        <v>175</v>
      </c>
    </row>
    <row r="11" spans="1:22" x14ac:dyDescent="0.2">
      <c r="A11" t="s">
        <v>71</v>
      </c>
      <c r="B11" t="s">
        <v>67</v>
      </c>
    </row>
    <row r="12" spans="1:22" x14ac:dyDescent="0.2">
      <c r="A12" t="s">
        <v>36</v>
      </c>
      <c r="B12" t="s">
        <v>67</v>
      </c>
    </row>
    <row r="13" spans="1:22" x14ac:dyDescent="0.2">
      <c r="A13" t="s">
        <v>72</v>
      </c>
      <c r="B13" t="s">
        <v>67</v>
      </c>
    </row>
    <row r="14" spans="1:22" x14ac:dyDescent="0.2">
      <c r="A14" t="s">
        <v>32</v>
      </c>
      <c r="B14" t="s">
        <v>67</v>
      </c>
      <c r="P14">
        <v>40562</v>
      </c>
      <c r="Q14">
        <v>42402</v>
      </c>
      <c r="R14">
        <v>34800</v>
      </c>
      <c r="S14">
        <v>26311</v>
      </c>
      <c r="T14">
        <v>29410</v>
      </c>
      <c r="U14">
        <v>26372</v>
      </c>
      <c r="V14">
        <v>21829</v>
      </c>
    </row>
    <row r="15" spans="1:22" x14ac:dyDescent="0.2">
      <c r="A15" t="s">
        <v>39</v>
      </c>
      <c r="B15" t="s">
        <v>67</v>
      </c>
      <c r="P15">
        <v>83081</v>
      </c>
      <c r="Q15">
        <v>66117</v>
      </c>
      <c r="R15">
        <v>72832</v>
      </c>
      <c r="S15">
        <v>78393</v>
      </c>
      <c r="T15">
        <v>95848</v>
      </c>
      <c r="U15">
        <v>80595</v>
      </c>
      <c r="V15">
        <v>88723</v>
      </c>
    </row>
    <row r="16" spans="1:22" x14ac:dyDescent="0.2">
      <c r="A16" t="s">
        <v>41</v>
      </c>
      <c r="B16" t="s">
        <v>67</v>
      </c>
    </row>
    <row r="17" spans="1:22" x14ac:dyDescent="0.2">
      <c r="A17" t="s">
        <v>40</v>
      </c>
      <c r="B17" t="s">
        <v>67</v>
      </c>
    </row>
    <row r="18" spans="1:22" x14ac:dyDescent="0.2">
      <c r="A18" t="s">
        <v>73</v>
      </c>
      <c r="B18" t="s">
        <v>67</v>
      </c>
    </row>
    <row r="19" spans="1:22" x14ac:dyDescent="0.2">
      <c r="A19" t="s">
        <v>38</v>
      </c>
      <c r="B19" t="s">
        <v>67</v>
      </c>
    </row>
    <row r="20" spans="1:22" x14ac:dyDescent="0.2">
      <c r="A20" t="s">
        <v>42</v>
      </c>
      <c r="B20" t="s">
        <v>67</v>
      </c>
      <c r="P20">
        <v>22</v>
      </c>
      <c r="Q20">
        <v>4818</v>
      </c>
      <c r="R20">
        <v>10281</v>
      </c>
      <c r="S20">
        <v>27762</v>
      </c>
      <c r="T20">
        <v>28397</v>
      </c>
      <c r="U20">
        <v>27222</v>
      </c>
      <c r="V20">
        <v>27777</v>
      </c>
    </row>
    <row r="21" spans="1:22" x14ac:dyDescent="0.2">
      <c r="A21" t="s">
        <v>74</v>
      </c>
      <c r="B21" t="s">
        <v>67</v>
      </c>
    </row>
    <row r="22" spans="1:22" x14ac:dyDescent="0.2">
      <c r="A22" t="s">
        <v>75</v>
      </c>
      <c r="B22" t="s">
        <v>67</v>
      </c>
    </row>
    <row r="23" spans="1:22" x14ac:dyDescent="0.2">
      <c r="A23" t="s">
        <v>44</v>
      </c>
      <c r="B23" t="s">
        <v>67</v>
      </c>
      <c r="P23">
        <v>487</v>
      </c>
      <c r="Q23">
        <v>724</v>
      </c>
      <c r="R23">
        <v>982</v>
      </c>
      <c r="S23">
        <v>3349</v>
      </c>
      <c r="T23">
        <v>9090</v>
      </c>
      <c r="U23">
        <v>11583</v>
      </c>
      <c r="V23">
        <v>12747</v>
      </c>
    </row>
    <row r="24" spans="1:22" x14ac:dyDescent="0.2">
      <c r="A24" t="s">
        <v>18</v>
      </c>
      <c r="B24" t="s">
        <v>67</v>
      </c>
      <c r="P24">
        <v>488</v>
      </c>
      <c r="Q24">
        <v>350</v>
      </c>
      <c r="R24">
        <v>340</v>
      </c>
      <c r="S24">
        <v>321</v>
      </c>
      <c r="T24">
        <v>378</v>
      </c>
      <c r="U24">
        <v>867</v>
      </c>
      <c r="V24">
        <v>1032</v>
      </c>
    </row>
    <row r="25" spans="1:22" x14ac:dyDescent="0.2">
      <c r="A25" t="s">
        <v>16</v>
      </c>
      <c r="B25" t="s">
        <v>67</v>
      </c>
    </row>
    <row r="26" spans="1:22" x14ac:dyDescent="0.2">
      <c r="A26" t="s">
        <v>76</v>
      </c>
      <c r="B26" t="s">
        <v>67</v>
      </c>
    </row>
    <row r="27" spans="1:22" x14ac:dyDescent="0.2">
      <c r="A27" t="s">
        <v>77</v>
      </c>
      <c r="B27" t="s">
        <v>67</v>
      </c>
    </row>
    <row r="28" spans="1:22" x14ac:dyDescent="0.2">
      <c r="A28" t="s">
        <v>78</v>
      </c>
      <c r="B28" t="s">
        <v>67</v>
      </c>
    </row>
    <row r="29" spans="1:22" x14ac:dyDescent="0.2">
      <c r="A29" t="s">
        <v>14</v>
      </c>
      <c r="B29" t="s">
        <v>67</v>
      </c>
    </row>
    <row r="30" spans="1:22" x14ac:dyDescent="0.2">
      <c r="A30" t="s">
        <v>79</v>
      </c>
      <c r="B30" t="s">
        <v>67</v>
      </c>
    </row>
    <row r="31" spans="1:22" x14ac:dyDescent="0.2">
      <c r="A31" t="s">
        <v>80</v>
      </c>
      <c r="B31" t="s">
        <v>67</v>
      </c>
    </row>
    <row r="32" spans="1:22" x14ac:dyDescent="0.2">
      <c r="A32" t="s">
        <v>34</v>
      </c>
      <c r="B32" t="s">
        <v>67</v>
      </c>
    </row>
    <row r="33" spans="1:22" x14ac:dyDescent="0.2">
      <c r="A33" t="s">
        <v>43</v>
      </c>
      <c r="B33" t="s">
        <v>67</v>
      </c>
    </row>
    <row r="34" spans="1:22" x14ac:dyDescent="0.2">
      <c r="A34" t="s">
        <v>81</v>
      </c>
      <c r="B34" t="s">
        <v>67</v>
      </c>
      <c r="U34">
        <v>278107</v>
      </c>
      <c r="V34">
        <v>309090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2102-D0AF-4FD9-BC5E-6E43BAC45350}">
  <dimension ref="A1:V34"/>
  <sheetViews>
    <sheetView topLeftCell="C1" workbookViewId="0">
      <selection activeCell="V1" sqref="V1"/>
    </sheetView>
  </sheetViews>
  <sheetFormatPr defaultRowHeight="14.25" x14ac:dyDescent="0.2"/>
  <cols>
    <col min="1" max="1" width="26.875" bestFit="1" customWidth="1"/>
    <col min="2" max="2" width="6.5" bestFit="1" customWidth="1"/>
    <col min="3" max="3" width="6.875" bestFit="1" customWidth="1"/>
    <col min="4" max="8" width="8.875" bestFit="1" customWidth="1"/>
    <col min="9" max="9" width="7.875" bestFit="1" customWidth="1"/>
    <col min="10" max="10" width="6.875" bestFit="1" customWidth="1"/>
    <col min="11" max="13" width="8.875" bestFit="1" customWidth="1"/>
    <col min="14" max="14" width="7.875" bestFit="1" customWidth="1"/>
    <col min="15" max="15" width="8.875" bestFit="1" customWidth="1"/>
    <col min="16" max="20" width="11.875" bestFit="1" customWidth="1"/>
    <col min="21" max="22" width="6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67</v>
      </c>
      <c r="C2">
        <v>32034</v>
      </c>
      <c r="D2">
        <v>35051</v>
      </c>
      <c r="E2">
        <v>36615.800000000003</v>
      </c>
      <c r="F2">
        <v>37480.6</v>
      </c>
      <c r="G2">
        <v>37825</v>
      </c>
      <c r="H2">
        <v>38854.199999999997</v>
      </c>
      <c r="I2">
        <v>40047.800000000003</v>
      </c>
      <c r="J2">
        <v>40081</v>
      </c>
      <c r="K2">
        <v>36374</v>
      </c>
      <c r="L2">
        <v>35753</v>
      </c>
      <c r="M2">
        <v>34582.1</v>
      </c>
      <c r="N2">
        <v>37038</v>
      </c>
      <c r="O2">
        <v>35782.1</v>
      </c>
      <c r="P2">
        <v>35796.42368</v>
      </c>
      <c r="Q2">
        <v>35825.220457999996</v>
      </c>
      <c r="R2">
        <v>45902.293204999994</v>
      </c>
      <c r="S2">
        <v>45531.515091000001</v>
      </c>
      <c r="T2">
        <v>45519.510886999997</v>
      </c>
      <c r="U2">
        <v>30430</v>
      </c>
      <c r="V2">
        <v>33280</v>
      </c>
    </row>
    <row r="3" spans="1:22" x14ac:dyDescent="0.2">
      <c r="A3" t="s">
        <v>26</v>
      </c>
      <c r="B3" t="s">
        <v>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22" x14ac:dyDescent="0.2">
      <c r="A4" t="s">
        <v>29</v>
      </c>
      <c r="B4" t="s">
        <v>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22" x14ac:dyDescent="0.2">
      <c r="A5" t="s">
        <v>68</v>
      </c>
      <c r="B5" t="s">
        <v>67</v>
      </c>
    </row>
    <row r="6" spans="1:22" x14ac:dyDescent="0.2">
      <c r="A6" t="s">
        <v>21</v>
      </c>
      <c r="B6" t="s">
        <v>67</v>
      </c>
    </row>
    <row r="7" spans="1:22" x14ac:dyDescent="0.2">
      <c r="A7" t="s">
        <v>69</v>
      </c>
      <c r="B7" t="s">
        <v>67</v>
      </c>
    </row>
    <row r="8" spans="1:22" x14ac:dyDescent="0.2">
      <c r="A8" t="s">
        <v>70</v>
      </c>
      <c r="B8" t="s">
        <v>67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486.32120999999995</v>
      </c>
      <c r="S8">
        <v>17.664005</v>
      </c>
      <c r="T8">
        <v>0</v>
      </c>
    </row>
    <row r="9" spans="1:22" x14ac:dyDescent="0.2">
      <c r="A9" t="s">
        <v>30</v>
      </c>
      <c r="B9" t="s">
        <v>67</v>
      </c>
      <c r="C9">
        <v>5949.3</v>
      </c>
      <c r="D9">
        <v>5646.3</v>
      </c>
      <c r="E9">
        <v>5526.5</v>
      </c>
      <c r="F9">
        <v>5216.2</v>
      </c>
      <c r="G9">
        <v>3153</v>
      </c>
      <c r="H9">
        <v>2573.1</v>
      </c>
      <c r="I9">
        <v>2050</v>
      </c>
      <c r="J9">
        <v>2222</v>
      </c>
      <c r="K9">
        <v>1584.6</v>
      </c>
      <c r="L9">
        <v>1399</v>
      </c>
      <c r="M9">
        <v>914.9</v>
      </c>
      <c r="N9">
        <v>630.79999999999995</v>
      </c>
      <c r="O9">
        <v>334.2</v>
      </c>
      <c r="P9">
        <v>111.77200000000001</v>
      </c>
      <c r="Q9">
        <v>137.22400000000002</v>
      </c>
      <c r="R9">
        <v>226.32416470000001</v>
      </c>
      <c r="S9">
        <v>1750.9198504999999</v>
      </c>
      <c r="T9">
        <v>9297.9068978000014</v>
      </c>
    </row>
    <row r="10" spans="1:22" x14ac:dyDescent="0.2">
      <c r="A10" t="s">
        <v>31</v>
      </c>
      <c r="B10" t="s">
        <v>67</v>
      </c>
      <c r="R10">
        <v>97.966457224975159</v>
      </c>
      <c r="S10">
        <v>953.394452</v>
      </c>
      <c r="T10">
        <v>1263.3031982092766</v>
      </c>
    </row>
    <row r="11" spans="1:22" x14ac:dyDescent="0.2">
      <c r="A11" t="s">
        <v>71</v>
      </c>
      <c r="B11" t="s">
        <v>67</v>
      </c>
    </row>
    <row r="12" spans="1:22" x14ac:dyDescent="0.2">
      <c r="A12" t="s">
        <v>36</v>
      </c>
      <c r="B12" t="s">
        <v>67</v>
      </c>
    </row>
    <row r="13" spans="1:22" x14ac:dyDescent="0.2">
      <c r="A13" t="s">
        <v>72</v>
      </c>
      <c r="B13" t="s">
        <v>67</v>
      </c>
    </row>
    <row r="14" spans="1:22" x14ac:dyDescent="0.2">
      <c r="A14" t="s">
        <v>32</v>
      </c>
      <c r="B14" t="s">
        <v>67</v>
      </c>
      <c r="C14">
        <v>85703</v>
      </c>
      <c r="D14">
        <v>87071</v>
      </c>
      <c r="E14">
        <v>90167.2</v>
      </c>
      <c r="F14">
        <v>94549</v>
      </c>
      <c r="G14">
        <v>82569.3</v>
      </c>
      <c r="H14">
        <v>94224</v>
      </c>
      <c r="I14">
        <v>102301</v>
      </c>
      <c r="J14">
        <v>114628</v>
      </c>
      <c r="K14">
        <v>118871.2</v>
      </c>
      <c r="L14">
        <v>124675</v>
      </c>
      <c r="M14">
        <v>128525</v>
      </c>
      <c r="N14">
        <v>124597</v>
      </c>
      <c r="O14">
        <v>120263.6</v>
      </c>
      <c r="P14">
        <v>116265.176074</v>
      </c>
      <c r="Q14">
        <v>121840.62066099999</v>
      </c>
      <c r="R14">
        <v>112793.07104299999</v>
      </c>
      <c r="S14">
        <v>110171.30943199999</v>
      </c>
      <c r="T14">
        <v>104931.22016</v>
      </c>
      <c r="U14">
        <v>129400</v>
      </c>
      <c r="V14">
        <v>136370</v>
      </c>
    </row>
    <row r="15" spans="1:22" x14ac:dyDescent="0.2">
      <c r="A15" t="s">
        <v>34</v>
      </c>
      <c r="B15" t="s">
        <v>67</v>
      </c>
    </row>
    <row r="16" spans="1:22" x14ac:dyDescent="0.2">
      <c r="A16" t="s">
        <v>39</v>
      </c>
      <c r="B16" t="s">
        <v>67</v>
      </c>
      <c r="C16">
        <v>5798.7</v>
      </c>
      <c r="D16">
        <v>8125</v>
      </c>
      <c r="E16">
        <v>8114</v>
      </c>
      <c r="F16">
        <v>7113</v>
      </c>
      <c r="G16">
        <v>7148</v>
      </c>
      <c r="H16">
        <v>5537</v>
      </c>
      <c r="I16">
        <v>8164</v>
      </c>
      <c r="J16">
        <v>8641.2999999999993</v>
      </c>
      <c r="K16">
        <v>5611</v>
      </c>
      <c r="L16">
        <v>4362.3</v>
      </c>
      <c r="M16">
        <v>3867.7</v>
      </c>
      <c r="N16">
        <v>3651</v>
      </c>
      <c r="O16">
        <v>4832.8</v>
      </c>
      <c r="P16">
        <v>7597.0129999999999</v>
      </c>
      <c r="Q16">
        <v>6309.9579999999996</v>
      </c>
      <c r="R16">
        <v>20792.732079000001</v>
      </c>
      <c r="S16">
        <v>24084.506099999999</v>
      </c>
      <c r="T16">
        <v>27515.972287000004</v>
      </c>
      <c r="U16">
        <v>6590</v>
      </c>
      <c r="V16">
        <v>6410</v>
      </c>
    </row>
    <row r="17" spans="1:22" x14ac:dyDescent="0.2">
      <c r="A17" t="s">
        <v>41</v>
      </c>
      <c r="B17" t="s">
        <v>67</v>
      </c>
    </row>
    <row r="18" spans="1:22" x14ac:dyDescent="0.2">
      <c r="A18" t="s">
        <v>40</v>
      </c>
      <c r="B18" t="s">
        <v>67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457.12837999999999</v>
      </c>
      <c r="S18">
        <v>389.48610000000002</v>
      </c>
      <c r="T18">
        <v>333.919601</v>
      </c>
    </row>
    <row r="19" spans="1:22" x14ac:dyDescent="0.2">
      <c r="A19" t="s">
        <v>73</v>
      </c>
      <c r="B19" t="s">
        <v>67</v>
      </c>
    </row>
    <row r="20" spans="1:22" x14ac:dyDescent="0.2">
      <c r="A20" t="s">
        <v>38</v>
      </c>
      <c r="B20" t="s">
        <v>67</v>
      </c>
      <c r="C20">
        <v>1</v>
      </c>
      <c r="D20">
        <v>1</v>
      </c>
      <c r="E20">
        <v>1</v>
      </c>
      <c r="F20">
        <v>1</v>
      </c>
      <c r="G20">
        <v>2</v>
      </c>
      <c r="H20">
        <v>3</v>
      </c>
      <c r="I20">
        <v>1.2</v>
      </c>
      <c r="J20">
        <v>1</v>
      </c>
      <c r="K20">
        <v>1.3</v>
      </c>
      <c r="L20">
        <v>1</v>
      </c>
      <c r="M20">
        <v>1.3</v>
      </c>
      <c r="N20">
        <v>1</v>
      </c>
      <c r="O20">
        <v>1.5</v>
      </c>
      <c r="P20">
        <v>1.5000000000000007</v>
      </c>
      <c r="Q20">
        <v>1.5000000000000007</v>
      </c>
      <c r="R20">
        <v>1.0115499999999999</v>
      </c>
      <c r="S20">
        <v>1.3593299999999999</v>
      </c>
      <c r="T20">
        <v>1.3888379999999998</v>
      </c>
    </row>
    <row r="21" spans="1:22" x14ac:dyDescent="0.2">
      <c r="A21" t="s">
        <v>42</v>
      </c>
      <c r="B21" t="s">
        <v>67</v>
      </c>
      <c r="C21">
        <v>0</v>
      </c>
      <c r="D21">
        <v>0</v>
      </c>
      <c r="E21">
        <v>0</v>
      </c>
      <c r="F21">
        <v>0</v>
      </c>
      <c r="G21">
        <v>9</v>
      </c>
      <c r="H21">
        <v>23</v>
      </c>
      <c r="I21">
        <v>83</v>
      </c>
      <c r="J21">
        <v>447</v>
      </c>
      <c r="K21">
        <v>931.4</v>
      </c>
      <c r="L21">
        <v>2031</v>
      </c>
      <c r="M21">
        <v>2318.5</v>
      </c>
      <c r="N21">
        <v>3553.5</v>
      </c>
      <c r="O21">
        <v>4542.5</v>
      </c>
      <c r="P21">
        <v>4542.5000000000027</v>
      </c>
      <c r="Q21">
        <v>4542.5000000000027</v>
      </c>
      <c r="R21">
        <v>4773.4594710000001</v>
      </c>
      <c r="S21">
        <v>4780.4797689999996</v>
      </c>
      <c r="T21">
        <v>4792.9889570000005</v>
      </c>
      <c r="U21">
        <v>5420</v>
      </c>
      <c r="V21">
        <v>6170</v>
      </c>
    </row>
    <row r="22" spans="1:22" x14ac:dyDescent="0.2">
      <c r="A22" t="s">
        <v>74</v>
      </c>
      <c r="B22" t="s">
        <v>67</v>
      </c>
    </row>
    <row r="23" spans="1:22" x14ac:dyDescent="0.2">
      <c r="A23" t="s">
        <v>75</v>
      </c>
      <c r="B23" t="s">
        <v>67</v>
      </c>
    </row>
    <row r="24" spans="1:22" x14ac:dyDescent="0.2">
      <c r="A24" t="s">
        <v>44</v>
      </c>
      <c r="B24" t="s">
        <v>67</v>
      </c>
      <c r="C24">
        <v>0</v>
      </c>
      <c r="D24">
        <v>0</v>
      </c>
      <c r="E24">
        <v>0</v>
      </c>
      <c r="F24">
        <v>0</v>
      </c>
      <c r="G24">
        <v>1</v>
      </c>
      <c r="H24">
        <v>2</v>
      </c>
      <c r="I24">
        <v>5</v>
      </c>
      <c r="J24">
        <v>17</v>
      </c>
      <c r="K24">
        <v>351.3</v>
      </c>
      <c r="L24">
        <v>406</v>
      </c>
      <c r="M24">
        <v>359.6</v>
      </c>
      <c r="N24">
        <v>349.7</v>
      </c>
      <c r="O24">
        <v>1109.9000000000001</v>
      </c>
      <c r="P24">
        <v>1109.9000000000008</v>
      </c>
      <c r="Q24">
        <v>1109.9000000000008</v>
      </c>
      <c r="R24">
        <v>3118.341101</v>
      </c>
      <c r="S24">
        <v>3409.7692900000006</v>
      </c>
      <c r="T24">
        <v>2957.9233790000003</v>
      </c>
      <c r="U24">
        <v>3610</v>
      </c>
      <c r="V24">
        <v>3670</v>
      </c>
    </row>
    <row r="25" spans="1:22" x14ac:dyDescent="0.2">
      <c r="A25" t="s">
        <v>18</v>
      </c>
      <c r="B25" t="s">
        <v>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3123</v>
      </c>
      <c r="J25">
        <v>4999.7</v>
      </c>
      <c r="K25">
        <v>4949.8</v>
      </c>
      <c r="L25">
        <v>4918</v>
      </c>
      <c r="M25">
        <v>12379.9</v>
      </c>
      <c r="N25">
        <v>15674.4</v>
      </c>
      <c r="O25">
        <v>15032.8</v>
      </c>
      <c r="P25">
        <v>15032.800000000001</v>
      </c>
      <c r="Q25">
        <v>15032.800000000001</v>
      </c>
      <c r="R25">
        <v>0</v>
      </c>
      <c r="S25">
        <v>0</v>
      </c>
      <c r="T25">
        <v>0</v>
      </c>
    </row>
    <row r="26" spans="1:22" x14ac:dyDescent="0.2">
      <c r="A26" t="s">
        <v>16</v>
      </c>
      <c r="B26" t="s">
        <v>67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9564.3091600000007</v>
      </c>
      <c r="S26">
        <v>10223.776453999999</v>
      </c>
      <c r="T26">
        <v>10932.555377999999</v>
      </c>
      <c r="U26">
        <v>14150</v>
      </c>
      <c r="V26">
        <v>13400</v>
      </c>
    </row>
    <row r="27" spans="1:22" x14ac:dyDescent="0.2">
      <c r="A27" t="s">
        <v>76</v>
      </c>
      <c r="B27" t="s">
        <v>67</v>
      </c>
    </row>
    <row r="28" spans="1:22" x14ac:dyDescent="0.2">
      <c r="A28" t="s">
        <v>77</v>
      </c>
      <c r="B28" t="s">
        <v>67</v>
      </c>
    </row>
    <row r="29" spans="1:22" x14ac:dyDescent="0.2">
      <c r="A29" t="s">
        <v>14</v>
      </c>
      <c r="B29" t="s">
        <v>67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231</v>
      </c>
      <c r="K29">
        <v>918.5</v>
      </c>
      <c r="L29">
        <v>921.8</v>
      </c>
      <c r="M29">
        <v>1400.9</v>
      </c>
      <c r="N29">
        <v>2144.6</v>
      </c>
      <c r="O29">
        <v>3610.8</v>
      </c>
      <c r="P29">
        <v>3610.8</v>
      </c>
      <c r="Q29">
        <v>3610.8</v>
      </c>
      <c r="R29">
        <v>829.06218699999988</v>
      </c>
      <c r="S29">
        <v>828.71840499999996</v>
      </c>
      <c r="T29">
        <v>864.81539299999997</v>
      </c>
    </row>
    <row r="30" spans="1:22" x14ac:dyDescent="0.2">
      <c r="A30" t="s">
        <v>43</v>
      </c>
      <c r="B30" t="s">
        <v>67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2164.8038390000002</v>
      </c>
      <c r="S30">
        <v>2356.697533</v>
      </c>
      <c r="T30">
        <v>2223.2466409999997</v>
      </c>
    </row>
    <row r="31" spans="1:22" x14ac:dyDescent="0.2">
      <c r="A31" t="s">
        <v>78</v>
      </c>
      <c r="B31" t="s">
        <v>67</v>
      </c>
    </row>
    <row r="32" spans="1:22" x14ac:dyDescent="0.2">
      <c r="A32" t="s">
        <v>79</v>
      </c>
      <c r="B32" t="s">
        <v>67</v>
      </c>
    </row>
    <row r="33" spans="1:22" x14ac:dyDescent="0.2">
      <c r="A33" t="s">
        <v>80</v>
      </c>
      <c r="B33" t="s">
        <v>67</v>
      </c>
      <c r="R33">
        <v>2125.012847</v>
      </c>
      <c r="S33">
        <v>2172.4950019999997</v>
      </c>
      <c r="T33">
        <v>2560.4257250000001</v>
      </c>
      <c r="U33">
        <v>33550</v>
      </c>
      <c r="V33">
        <v>37080</v>
      </c>
    </row>
    <row r="34" spans="1:22" x14ac:dyDescent="0.2">
      <c r="A34" t="s">
        <v>81</v>
      </c>
      <c r="B34" t="s">
        <v>67</v>
      </c>
      <c r="C34">
        <v>129486</v>
      </c>
      <c r="D34">
        <v>135894.29999999999</v>
      </c>
      <c r="E34">
        <v>140424.5</v>
      </c>
      <c r="F34">
        <v>144359.79999999999</v>
      </c>
      <c r="G34">
        <v>130707.3</v>
      </c>
      <c r="H34">
        <v>141216.29999999999</v>
      </c>
      <c r="I34">
        <v>155775</v>
      </c>
      <c r="J34">
        <v>171268</v>
      </c>
      <c r="K34">
        <v>169593.09999999995</v>
      </c>
      <c r="L34">
        <v>174467.09999999998</v>
      </c>
      <c r="M34">
        <v>184349.9</v>
      </c>
      <c r="N34">
        <v>187640</v>
      </c>
      <c r="O34">
        <v>185510.19999999995</v>
      </c>
      <c r="P34">
        <v>184067.88475399997</v>
      </c>
      <c r="Q34">
        <v>188410.52311899996</v>
      </c>
      <c r="R34">
        <v>203331.836693925</v>
      </c>
      <c r="S34">
        <v>206672.09081350002</v>
      </c>
      <c r="T34">
        <v>213195.17734200932</v>
      </c>
      <c r="U34">
        <v>223150</v>
      </c>
      <c r="V34">
        <v>236380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BDDA-0139-4F35-9046-7B223175512B}">
  <dimension ref="A1:V34"/>
  <sheetViews>
    <sheetView topLeftCell="G1" workbookViewId="0">
      <selection activeCell="V1" sqref="V1"/>
    </sheetView>
  </sheetViews>
  <sheetFormatPr defaultRowHeight="14.25" x14ac:dyDescent="0.2"/>
  <cols>
    <col min="1" max="1" width="26.875" bestFit="1" customWidth="1"/>
    <col min="2" max="2" width="6.5" bestFit="1" customWidth="1"/>
    <col min="3" max="6" width="7.875" bestFit="1" customWidth="1"/>
    <col min="7" max="7" width="6.875" bestFit="1" customWidth="1"/>
    <col min="8" max="8" width="7.875" bestFit="1" customWidth="1"/>
    <col min="9" max="9" width="6.875" bestFit="1" customWidth="1"/>
    <col min="10" max="15" width="7.875" bestFit="1" customWidth="1"/>
    <col min="16" max="20" width="11.875" bestFit="1" customWidth="1"/>
    <col min="21" max="22" width="6.875" bestFit="1" customWidth="1"/>
    <col min="23" max="25" width="11.625" bestFit="1" customWidth="1"/>
    <col min="26" max="26" width="6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67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2" x14ac:dyDescent="0.2">
      <c r="A3" t="s">
        <v>26</v>
      </c>
      <c r="B3" t="s">
        <v>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2" x14ac:dyDescent="0.2">
      <c r="A4" t="s">
        <v>29</v>
      </c>
      <c r="B4" t="s">
        <v>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2" x14ac:dyDescent="0.2">
      <c r="A5" t="s">
        <v>68</v>
      </c>
      <c r="B5" t="s">
        <v>67</v>
      </c>
    </row>
    <row r="6" spans="1:22" x14ac:dyDescent="0.2">
      <c r="A6" t="s">
        <v>21</v>
      </c>
      <c r="B6" t="s">
        <v>67</v>
      </c>
    </row>
    <row r="7" spans="1:22" x14ac:dyDescent="0.2">
      <c r="A7" t="s">
        <v>69</v>
      </c>
      <c r="B7" t="s">
        <v>67</v>
      </c>
    </row>
    <row r="8" spans="1:22" x14ac:dyDescent="0.2">
      <c r="A8" t="s">
        <v>70</v>
      </c>
      <c r="B8" t="s">
        <v>67</v>
      </c>
    </row>
    <row r="9" spans="1:22" x14ac:dyDescent="0.2">
      <c r="A9" t="s">
        <v>30</v>
      </c>
      <c r="B9" t="s">
        <v>67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2" x14ac:dyDescent="0.2">
      <c r="A10" t="s">
        <v>31</v>
      </c>
      <c r="B10" t="s">
        <v>67</v>
      </c>
      <c r="C10">
        <v>8827.0000000000018</v>
      </c>
      <c r="D10">
        <v>7816.9999999999991</v>
      </c>
      <c r="E10">
        <v>7774.0000000000018</v>
      </c>
      <c r="F10">
        <v>7167</v>
      </c>
      <c r="G10">
        <v>7064</v>
      </c>
      <c r="H10">
        <v>9164</v>
      </c>
      <c r="I10">
        <v>8923.9999999999964</v>
      </c>
      <c r="J10">
        <v>6102</v>
      </c>
      <c r="K10">
        <v>2248.9999999999991</v>
      </c>
      <c r="L10">
        <v>345.00000000000006</v>
      </c>
      <c r="M10">
        <v>331.99999999999994</v>
      </c>
      <c r="N10">
        <v>361.00000000000006</v>
      </c>
      <c r="O10">
        <v>365.99999999999994</v>
      </c>
      <c r="Q10">
        <v>217</v>
      </c>
      <c r="R10">
        <v>211</v>
      </c>
      <c r="S10">
        <v>440</v>
      </c>
      <c r="T10">
        <v>458.92</v>
      </c>
    </row>
    <row r="11" spans="1:22" x14ac:dyDescent="0.2">
      <c r="A11" t="s">
        <v>71</v>
      </c>
      <c r="B11" t="s">
        <v>67</v>
      </c>
    </row>
    <row r="12" spans="1:22" x14ac:dyDescent="0.2">
      <c r="A12" t="s">
        <v>36</v>
      </c>
      <c r="B12" t="s">
        <v>67</v>
      </c>
      <c r="C12">
        <v>1692</v>
      </c>
      <c r="D12">
        <v>1935.9999999999998</v>
      </c>
      <c r="E12">
        <v>1910.0000000000002</v>
      </c>
      <c r="F12">
        <v>2017</v>
      </c>
      <c r="G12">
        <v>2361</v>
      </c>
      <c r="H12">
        <v>1986.0000000000002</v>
      </c>
      <c r="I12">
        <v>1571</v>
      </c>
      <c r="J12">
        <v>889.99999999999989</v>
      </c>
      <c r="K12">
        <v>825</v>
      </c>
      <c r="L12">
        <v>840.99999999999989</v>
      </c>
      <c r="M12">
        <v>817.99999999999966</v>
      </c>
      <c r="N12">
        <v>839.00000000000023</v>
      </c>
      <c r="O12">
        <v>837.00000000000011</v>
      </c>
      <c r="P12">
        <v>876.1731533403505</v>
      </c>
      <c r="Q12">
        <v>871.37696608874069</v>
      </c>
      <c r="R12">
        <v>850.90566796733594</v>
      </c>
      <c r="S12">
        <v>881.78096464057296</v>
      </c>
      <c r="T12">
        <v>919.69754612011764</v>
      </c>
    </row>
    <row r="13" spans="1:22" x14ac:dyDescent="0.2">
      <c r="A13" t="s">
        <v>72</v>
      </c>
      <c r="B13" t="s">
        <v>67</v>
      </c>
    </row>
    <row r="14" spans="1:22" x14ac:dyDescent="0.2">
      <c r="A14" t="s">
        <v>32</v>
      </c>
      <c r="B14" t="s">
        <v>67</v>
      </c>
      <c r="C14">
        <v>26738</v>
      </c>
      <c r="D14">
        <v>28780.000000000004</v>
      </c>
      <c r="E14">
        <v>30463</v>
      </c>
      <c r="F14">
        <v>31443.999999999996</v>
      </c>
      <c r="G14">
        <v>31330</v>
      </c>
      <c r="H14">
        <v>33035.999999999993</v>
      </c>
      <c r="I14">
        <v>34307.999999999993</v>
      </c>
      <c r="J14">
        <v>38677</v>
      </c>
      <c r="K14">
        <v>43201</v>
      </c>
      <c r="L14">
        <v>46191.000000000007</v>
      </c>
      <c r="M14">
        <v>47070</v>
      </c>
      <c r="N14">
        <v>48270.999999999993</v>
      </c>
      <c r="O14">
        <v>48881</v>
      </c>
      <c r="P14">
        <v>51168.721515447629</v>
      </c>
      <c r="Q14">
        <v>50888.623033911259</v>
      </c>
      <c r="R14">
        <v>49693.094332032662</v>
      </c>
      <c r="S14">
        <v>51496.219035359427</v>
      </c>
      <c r="T14">
        <v>53710.556453879879</v>
      </c>
    </row>
    <row r="15" spans="1:22" x14ac:dyDescent="0.2">
      <c r="A15" t="s">
        <v>39</v>
      </c>
      <c r="B15" t="s">
        <v>67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2" x14ac:dyDescent="0.2">
      <c r="A16" t="s">
        <v>41</v>
      </c>
      <c r="B16" t="s">
        <v>67</v>
      </c>
    </row>
    <row r="17" spans="1:20" x14ac:dyDescent="0.2">
      <c r="A17" t="s">
        <v>40</v>
      </c>
      <c r="B17" t="s">
        <v>67</v>
      </c>
    </row>
    <row r="18" spans="1:20" x14ac:dyDescent="0.2">
      <c r="A18" t="s">
        <v>73</v>
      </c>
      <c r="B18" t="s">
        <v>67</v>
      </c>
    </row>
    <row r="19" spans="1:20" x14ac:dyDescent="0.2">
      <c r="A19" t="s">
        <v>38</v>
      </c>
      <c r="B19" t="s">
        <v>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t="s">
        <v>42</v>
      </c>
      <c r="B20" t="s">
        <v>67</v>
      </c>
      <c r="C20">
        <v>0</v>
      </c>
      <c r="D20">
        <v>0</v>
      </c>
      <c r="E20">
        <v>0</v>
      </c>
      <c r="F20">
        <v>0.99999999999999989</v>
      </c>
      <c r="G20">
        <v>3</v>
      </c>
      <c r="H20">
        <v>5</v>
      </c>
      <c r="I20">
        <v>8</v>
      </c>
      <c r="J20">
        <v>12.999999999999998</v>
      </c>
      <c r="K20">
        <v>16.999999999999996</v>
      </c>
      <c r="L20">
        <v>37.999999999999993</v>
      </c>
      <c r="M20">
        <v>69.000000000000014</v>
      </c>
      <c r="N20">
        <v>146</v>
      </c>
      <c r="O20">
        <v>169</v>
      </c>
      <c r="P20">
        <v>268.61035357586178</v>
      </c>
      <c r="Q20">
        <v>410</v>
      </c>
      <c r="R20">
        <v>499</v>
      </c>
      <c r="S20">
        <v>761</v>
      </c>
      <c r="T20">
        <v>793.72299999999996</v>
      </c>
    </row>
    <row r="21" spans="1:20" x14ac:dyDescent="0.2">
      <c r="A21" t="s">
        <v>74</v>
      </c>
      <c r="B21" t="s">
        <v>67</v>
      </c>
    </row>
    <row r="22" spans="1:20" x14ac:dyDescent="0.2">
      <c r="A22" t="s">
        <v>75</v>
      </c>
      <c r="B22" t="s">
        <v>67</v>
      </c>
    </row>
    <row r="23" spans="1:20" x14ac:dyDescent="0.2">
      <c r="A23" t="s">
        <v>44</v>
      </c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t="s">
        <v>18</v>
      </c>
      <c r="B24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t="s">
        <v>16</v>
      </c>
      <c r="B25" t="s">
        <v>67</v>
      </c>
    </row>
    <row r="26" spans="1:20" x14ac:dyDescent="0.2">
      <c r="A26" t="s">
        <v>76</v>
      </c>
      <c r="B26" t="s">
        <v>67</v>
      </c>
    </row>
    <row r="27" spans="1:20" x14ac:dyDescent="0.2">
      <c r="A27" t="s">
        <v>77</v>
      </c>
      <c r="B27" t="s">
        <v>67</v>
      </c>
    </row>
    <row r="28" spans="1:20" x14ac:dyDescent="0.2">
      <c r="A28" t="s">
        <v>78</v>
      </c>
      <c r="B28" t="s">
        <v>67</v>
      </c>
    </row>
    <row r="29" spans="1:20" x14ac:dyDescent="0.2">
      <c r="A29" t="s">
        <v>14</v>
      </c>
      <c r="B29" t="s">
        <v>67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t="s">
        <v>79</v>
      </c>
      <c r="B30" t="s">
        <v>67</v>
      </c>
    </row>
    <row r="31" spans="1:20" x14ac:dyDescent="0.2">
      <c r="A31" t="s">
        <v>80</v>
      </c>
      <c r="B31" t="s">
        <v>67</v>
      </c>
    </row>
    <row r="32" spans="1:20" x14ac:dyDescent="0.2">
      <c r="A32" t="s">
        <v>34</v>
      </c>
      <c r="B32" t="s">
        <v>67</v>
      </c>
    </row>
    <row r="33" spans="1:20" x14ac:dyDescent="0.2">
      <c r="A33" t="s">
        <v>43</v>
      </c>
      <c r="B33" t="s">
        <v>67</v>
      </c>
      <c r="C33">
        <v>955.3</v>
      </c>
      <c r="D33">
        <v>947.50000000000011</v>
      </c>
      <c r="E33">
        <v>987.19999999999982</v>
      </c>
      <c r="F33">
        <v>1040.7999999999997</v>
      </c>
      <c r="G33">
        <v>1041.9999999999998</v>
      </c>
      <c r="H33">
        <v>1174.5000000000002</v>
      </c>
      <c r="I33">
        <v>1188</v>
      </c>
      <c r="J33">
        <v>1254.3000000000002</v>
      </c>
      <c r="K33">
        <v>1671.3000000000002</v>
      </c>
      <c r="L33">
        <v>1894.9</v>
      </c>
      <c r="M33">
        <v>1982.0999999999997</v>
      </c>
      <c r="N33">
        <v>1969.1</v>
      </c>
      <c r="O33">
        <v>1972.2000000000003</v>
      </c>
      <c r="P33">
        <v>563.78042961180051</v>
      </c>
      <c r="Q33">
        <v>1433</v>
      </c>
      <c r="R33">
        <v>1054</v>
      </c>
      <c r="S33">
        <v>1220</v>
      </c>
      <c r="T33">
        <v>1272.46</v>
      </c>
    </row>
    <row r="34" spans="1:20" x14ac:dyDescent="0.2">
      <c r="A34" t="s">
        <v>81</v>
      </c>
      <c r="B34" t="s">
        <v>67</v>
      </c>
      <c r="C34">
        <v>38212.300000000003</v>
      </c>
      <c r="D34">
        <v>39480.5</v>
      </c>
      <c r="E34">
        <v>41134.199999999997</v>
      </c>
      <c r="F34">
        <v>41669.800000000003</v>
      </c>
      <c r="G34">
        <v>41800</v>
      </c>
      <c r="H34">
        <v>45365.499999999993</v>
      </c>
      <c r="I34">
        <v>45998.999999999985</v>
      </c>
      <c r="J34">
        <v>46936.3</v>
      </c>
      <c r="K34">
        <v>47963.3</v>
      </c>
      <c r="L34">
        <v>49309.900000000009</v>
      </c>
      <c r="M34">
        <v>50271.1</v>
      </c>
      <c r="N34">
        <v>51586.099999999991</v>
      </c>
      <c r="O34">
        <v>52225.2</v>
      </c>
      <c r="P34">
        <v>52877.285451975637</v>
      </c>
      <c r="Q34">
        <v>53820</v>
      </c>
      <c r="R34">
        <v>52308</v>
      </c>
      <c r="S34">
        <v>54799</v>
      </c>
      <c r="T34">
        <v>57155.356999999996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0234-2CDE-4933-A39B-7E6F216B5DCF}">
  <dimension ref="A1:V32"/>
  <sheetViews>
    <sheetView topLeftCell="G1" workbookViewId="0">
      <selection activeCell="V1" sqref="V1"/>
    </sheetView>
  </sheetViews>
  <sheetFormatPr defaultRowHeight="14.25" x14ac:dyDescent="0.2"/>
  <cols>
    <col min="1" max="1" width="26.875" bestFit="1" customWidth="1"/>
    <col min="2" max="2" width="6.5" bestFit="1" customWidth="1"/>
    <col min="3" max="15" width="9.875" bestFit="1" customWidth="1"/>
    <col min="16" max="22" width="11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67</v>
      </c>
      <c r="C2">
        <v>15257.200000000004</v>
      </c>
      <c r="D2">
        <v>15294.100000000004</v>
      </c>
      <c r="E2">
        <v>16837.100000000006</v>
      </c>
      <c r="F2">
        <v>15748.800000000008</v>
      </c>
      <c r="G2">
        <v>16476.100000000002</v>
      </c>
      <c r="H2">
        <v>23301.1</v>
      </c>
      <c r="I2">
        <v>25342.200000000008</v>
      </c>
      <c r="J2">
        <v>28264.900000000005</v>
      </c>
      <c r="K2">
        <v>32081.000000000007</v>
      </c>
      <c r="L2">
        <v>33053.5</v>
      </c>
      <c r="M2">
        <v>36685.700000000012</v>
      </c>
      <c r="N2">
        <v>43303.200000000019</v>
      </c>
      <c r="O2">
        <v>46847.300000000017</v>
      </c>
      <c r="P2">
        <v>51932.187178438857</v>
      </c>
      <c r="Q2">
        <v>57890.429344113334</v>
      </c>
      <c r="R2">
        <v>58176.00179630964</v>
      </c>
      <c r="S2">
        <v>62052.245545954211</v>
      </c>
      <c r="T2">
        <v>66429.54407199999</v>
      </c>
      <c r="U2">
        <v>73753.848087479026</v>
      </c>
      <c r="V2">
        <v>79359.332845434517</v>
      </c>
    </row>
    <row r="3" spans="1:22" x14ac:dyDescent="0.2">
      <c r="A3" t="s">
        <v>26</v>
      </c>
      <c r="B3" t="s">
        <v>67</v>
      </c>
    </row>
    <row r="4" spans="1:22" x14ac:dyDescent="0.2">
      <c r="A4" t="s">
        <v>29</v>
      </c>
      <c r="B4" t="s">
        <v>67</v>
      </c>
    </row>
    <row r="5" spans="1:22" x14ac:dyDescent="0.2">
      <c r="A5" t="s">
        <v>68</v>
      </c>
      <c r="B5" t="s">
        <v>67</v>
      </c>
    </row>
    <row r="6" spans="1:22" x14ac:dyDescent="0.2">
      <c r="A6" t="s">
        <v>21</v>
      </c>
      <c r="B6" t="s">
        <v>67</v>
      </c>
    </row>
    <row r="7" spans="1:22" x14ac:dyDescent="0.2">
      <c r="A7" t="s">
        <v>69</v>
      </c>
      <c r="B7" t="s">
        <v>67</v>
      </c>
    </row>
    <row r="8" spans="1:22" x14ac:dyDescent="0.2">
      <c r="A8" t="s">
        <v>70</v>
      </c>
      <c r="B8" t="s">
        <v>67</v>
      </c>
    </row>
    <row r="9" spans="1:22" x14ac:dyDescent="0.2">
      <c r="A9" t="s">
        <v>30</v>
      </c>
      <c r="B9" t="s">
        <v>67</v>
      </c>
      <c r="C9">
        <v>6141.4000000000033</v>
      </c>
      <c r="D9">
        <v>4664.8000000000011</v>
      </c>
      <c r="E9">
        <v>5148</v>
      </c>
      <c r="F9">
        <v>4868.3</v>
      </c>
      <c r="G9">
        <v>5380.7000000000007</v>
      </c>
      <c r="H9">
        <v>7101.0000000000018</v>
      </c>
      <c r="I9">
        <v>3397.6000000000017</v>
      </c>
      <c r="J9">
        <v>4254.0000000000009</v>
      </c>
      <c r="K9">
        <v>4490.6000000000004</v>
      </c>
      <c r="L9">
        <v>5707.7000000000016</v>
      </c>
      <c r="M9">
        <v>5886.4</v>
      </c>
      <c r="N9">
        <v>5661.4000000000024</v>
      </c>
      <c r="O9">
        <v>3787.1000000000008</v>
      </c>
      <c r="P9">
        <v>3172.8170864781482</v>
      </c>
      <c r="Q9">
        <v>3752.3017838279948</v>
      </c>
      <c r="R9">
        <v>2473.8876709300048</v>
      </c>
      <c r="S9">
        <v>1616.3781474799998</v>
      </c>
      <c r="T9">
        <v>2518.5002340000001</v>
      </c>
      <c r="U9">
        <v>1303.6440242888032</v>
      </c>
      <c r="V9">
        <v>1341.6626008500002</v>
      </c>
    </row>
    <row r="10" spans="1:22" x14ac:dyDescent="0.2">
      <c r="A10" t="s">
        <v>31</v>
      </c>
      <c r="B10" t="s">
        <v>67</v>
      </c>
    </row>
    <row r="11" spans="1:22" x14ac:dyDescent="0.2">
      <c r="A11" t="s">
        <v>71</v>
      </c>
      <c r="B11" t="s">
        <v>67</v>
      </c>
    </row>
    <row r="12" spans="1:22" x14ac:dyDescent="0.2">
      <c r="A12" t="s">
        <v>36</v>
      </c>
      <c r="B12" t="s">
        <v>67</v>
      </c>
    </row>
    <row r="13" spans="1:22" x14ac:dyDescent="0.2">
      <c r="A13" t="s">
        <v>72</v>
      </c>
      <c r="B13" t="s">
        <v>67</v>
      </c>
    </row>
    <row r="14" spans="1:22" x14ac:dyDescent="0.2">
      <c r="A14" t="s">
        <v>32</v>
      </c>
      <c r="B14" t="s">
        <v>67</v>
      </c>
      <c r="C14">
        <v>16860.900000000009</v>
      </c>
      <c r="D14">
        <v>16366.000000000002</v>
      </c>
      <c r="E14">
        <v>18789.400000000005</v>
      </c>
      <c r="F14">
        <v>19575.900000000001</v>
      </c>
      <c r="G14">
        <v>19886.800000000003</v>
      </c>
      <c r="H14">
        <v>19517.900000000005</v>
      </c>
      <c r="I14">
        <v>20591.300000000007</v>
      </c>
      <c r="J14">
        <v>19641.500000000004</v>
      </c>
      <c r="K14">
        <v>18791.3</v>
      </c>
      <c r="L14">
        <v>18690.100000000009</v>
      </c>
      <c r="M14">
        <v>18877.900000000005</v>
      </c>
      <c r="N14">
        <v>19853.800000000007</v>
      </c>
      <c r="O14">
        <v>20547.200000000008</v>
      </c>
      <c r="P14">
        <v>21333.788697000004</v>
      </c>
      <c r="Q14">
        <v>22354.377529790003</v>
      </c>
      <c r="R14">
        <v>19496.926551059998</v>
      </c>
      <c r="S14">
        <v>18675.443582200001</v>
      </c>
      <c r="T14">
        <v>17884.120005000004</v>
      </c>
      <c r="U14">
        <v>16668.066336600001</v>
      </c>
      <c r="V14">
        <v>18046.729450000003</v>
      </c>
    </row>
    <row r="15" spans="1:22" x14ac:dyDescent="0.2">
      <c r="A15" t="s">
        <v>39</v>
      </c>
      <c r="B15" t="s">
        <v>67</v>
      </c>
      <c r="C15">
        <v>8386.773000000001</v>
      </c>
      <c r="D15">
        <v>9939.4130000000041</v>
      </c>
      <c r="E15">
        <v>8563.4330000000045</v>
      </c>
      <c r="F15">
        <v>9842.5340000000033</v>
      </c>
      <c r="G15">
        <v>9787.5670000000009</v>
      </c>
      <c r="H15">
        <v>7803.4050000000025</v>
      </c>
      <c r="I15">
        <v>9697.5320000000029</v>
      </c>
      <c r="J15">
        <v>10252.134000000002</v>
      </c>
      <c r="K15">
        <v>10019.308000000005</v>
      </c>
      <c r="L15">
        <v>9137.273000000001</v>
      </c>
      <c r="M15">
        <v>8665.0780000000032</v>
      </c>
      <c r="N15">
        <v>8110.9150000000009</v>
      </c>
      <c r="O15">
        <v>9610.7990000000045</v>
      </c>
      <c r="P15">
        <v>9383.7582255820435</v>
      </c>
      <c r="Q15">
        <v>8025.491696768001</v>
      </c>
      <c r="R15">
        <v>7192.0187535412369</v>
      </c>
      <c r="S15">
        <v>9185.3235479480009</v>
      </c>
      <c r="T15">
        <v>10084.591923</v>
      </c>
      <c r="U15">
        <v>10287.161486961395</v>
      </c>
      <c r="V15">
        <v>10908.596766192939</v>
      </c>
    </row>
    <row r="16" spans="1:22" x14ac:dyDescent="0.2">
      <c r="A16" t="s">
        <v>41</v>
      </c>
      <c r="B16" t="s">
        <v>67</v>
      </c>
    </row>
    <row r="17" spans="1:22" x14ac:dyDescent="0.2">
      <c r="A17" t="s">
        <v>40</v>
      </c>
      <c r="B17" t="s">
        <v>67</v>
      </c>
    </row>
    <row r="18" spans="1:22" x14ac:dyDescent="0.2">
      <c r="A18" t="s">
        <v>73</v>
      </c>
      <c r="B18" t="s">
        <v>67</v>
      </c>
    </row>
    <row r="19" spans="1:22" x14ac:dyDescent="0.2">
      <c r="A19" t="s">
        <v>38</v>
      </c>
      <c r="B19" t="s">
        <v>67</v>
      </c>
      <c r="C19">
        <v>9902.0000000000018</v>
      </c>
      <c r="D19">
        <v>10465.000000000002</v>
      </c>
      <c r="E19">
        <v>10215.000000000002</v>
      </c>
      <c r="F19">
        <v>10723.000000000004</v>
      </c>
      <c r="G19">
        <v>10324.000000000002</v>
      </c>
      <c r="H19">
        <v>9929.0000000000036</v>
      </c>
      <c r="I19">
        <v>9942</v>
      </c>
      <c r="J19">
        <v>10250.000000000002</v>
      </c>
      <c r="K19">
        <v>9605.0000000000018</v>
      </c>
      <c r="L19">
        <v>10308.000000000002</v>
      </c>
      <c r="M19">
        <v>11044.000000000002</v>
      </c>
      <c r="N19">
        <v>11070.000000000004</v>
      </c>
      <c r="O19">
        <v>10270.000000000004</v>
      </c>
      <c r="P19">
        <v>10435.304649110001</v>
      </c>
      <c r="Q19">
        <v>10690.80380116</v>
      </c>
      <c r="R19">
        <v>10756.815175710002</v>
      </c>
      <c r="S19">
        <v>10681.4221</v>
      </c>
      <c r="T19">
        <v>10424.517849</v>
      </c>
      <c r="U19">
        <v>10730.18296143</v>
      </c>
      <c r="V19">
        <v>10789.219813000003</v>
      </c>
    </row>
    <row r="20" spans="1:22" x14ac:dyDescent="0.2">
      <c r="A20" t="s">
        <v>42</v>
      </c>
      <c r="B20" t="s">
        <v>67</v>
      </c>
      <c r="C20">
        <v>1.5000000000000004</v>
      </c>
      <c r="D20">
        <v>1.4000000000000004</v>
      </c>
      <c r="E20">
        <v>1.3000000000000003</v>
      </c>
      <c r="F20">
        <v>1.3000000000000003</v>
      </c>
      <c r="G20">
        <v>1.3000000000000003</v>
      </c>
      <c r="H20">
        <v>1.3000000000000003</v>
      </c>
      <c r="I20">
        <v>1.2000000000000002</v>
      </c>
      <c r="J20">
        <v>1.3000000000000003</v>
      </c>
      <c r="K20">
        <v>1.4000000000000004</v>
      </c>
      <c r="L20">
        <v>16.500000000000004</v>
      </c>
      <c r="M20">
        <v>138.50000000000003</v>
      </c>
      <c r="N20">
        <v>1097.0000000000002</v>
      </c>
      <c r="O20">
        <v>1201.2000000000003</v>
      </c>
      <c r="P20">
        <v>1249.1163984170441</v>
      </c>
      <c r="Q20">
        <v>1246.0817376929801</v>
      </c>
      <c r="R20">
        <v>1372.604492734798</v>
      </c>
      <c r="S20">
        <v>1469.5498828000002</v>
      </c>
      <c r="T20">
        <v>1822.3957549999998</v>
      </c>
      <c r="U20">
        <v>2544.0051409941461</v>
      </c>
      <c r="V20">
        <v>3810.6930886508358</v>
      </c>
    </row>
    <row r="21" spans="1:22" x14ac:dyDescent="0.2">
      <c r="A21" t="s">
        <v>74</v>
      </c>
      <c r="B21" t="s">
        <v>67</v>
      </c>
    </row>
    <row r="22" spans="1:22" x14ac:dyDescent="0.2">
      <c r="A22" t="s">
        <v>75</v>
      </c>
      <c r="B22" t="s">
        <v>67</v>
      </c>
    </row>
    <row r="23" spans="1:22" x14ac:dyDescent="0.2">
      <c r="A23" t="s">
        <v>44</v>
      </c>
      <c r="B23" t="s">
        <v>67</v>
      </c>
      <c r="C23">
        <v>17.500000000000004</v>
      </c>
      <c r="D23">
        <v>53.200000000000017</v>
      </c>
      <c r="E23">
        <v>57.800000000000011</v>
      </c>
      <c r="F23">
        <v>61.400000000000006</v>
      </c>
      <c r="G23">
        <v>64.400000000000034</v>
      </c>
      <c r="H23">
        <v>61.700000000000017</v>
      </c>
      <c r="I23">
        <v>88.2</v>
      </c>
      <c r="J23">
        <v>75.300000000000026</v>
      </c>
      <c r="K23">
        <v>65.700000000000031</v>
      </c>
      <c r="L23">
        <v>152.1</v>
      </c>
      <c r="M23">
        <v>748.4</v>
      </c>
      <c r="N23">
        <v>975.20000000000027</v>
      </c>
      <c r="O23">
        <v>1093.6000000000001</v>
      </c>
      <c r="P23">
        <v>1152.923041</v>
      </c>
      <c r="Q23">
        <v>1041.6598995999998</v>
      </c>
      <c r="R23">
        <v>1026.4498310399999</v>
      </c>
      <c r="S23">
        <v>1269.66156</v>
      </c>
      <c r="T23">
        <v>1029.8689439999998</v>
      </c>
      <c r="U23">
        <v>1308.1383831743444</v>
      </c>
      <c r="V23">
        <v>1238.6710648111114</v>
      </c>
    </row>
    <row r="24" spans="1:22" x14ac:dyDescent="0.2">
      <c r="A24" t="s">
        <v>18</v>
      </c>
      <c r="B24" t="s">
        <v>67</v>
      </c>
      <c r="C24">
        <v>0</v>
      </c>
      <c r="D24">
        <v>0</v>
      </c>
      <c r="E24">
        <v>0</v>
      </c>
      <c r="F24">
        <v>0</v>
      </c>
      <c r="G24">
        <v>13.700000000000003</v>
      </c>
      <c r="H24">
        <v>27.300000000000008</v>
      </c>
      <c r="I24">
        <v>115.30000000000001</v>
      </c>
      <c r="J24">
        <v>182.8</v>
      </c>
      <c r="K24">
        <v>212.00000000000006</v>
      </c>
      <c r="L24">
        <v>195.70000000000007</v>
      </c>
      <c r="M24">
        <v>367.50000000000011</v>
      </c>
      <c r="N24">
        <v>725.9000000000002</v>
      </c>
      <c r="O24">
        <v>1013.1000000000004</v>
      </c>
      <c r="P24">
        <v>1104.822764666799</v>
      </c>
      <c r="Q24">
        <v>1040.3426460000001</v>
      </c>
      <c r="R24">
        <v>1261.0159626570605</v>
      </c>
      <c r="S24">
        <v>1164.6887300000001</v>
      </c>
      <c r="T24">
        <v>1322.1298100000001</v>
      </c>
      <c r="U24">
        <v>1408.8628080460853</v>
      </c>
      <c r="V24">
        <v>1445.9210779634525</v>
      </c>
    </row>
    <row r="25" spans="1:22" x14ac:dyDescent="0.2">
      <c r="A25" t="s">
        <v>16</v>
      </c>
      <c r="B25" t="s">
        <v>67</v>
      </c>
    </row>
    <row r="26" spans="1:22" x14ac:dyDescent="0.2">
      <c r="A26" t="s">
        <v>76</v>
      </c>
      <c r="B26" t="s">
        <v>67</v>
      </c>
    </row>
    <row r="27" spans="1:22" x14ac:dyDescent="0.2">
      <c r="A27" t="s">
        <v>77</v>
      </c>
      <c r="B27" t="s">
        <v>67</v>
      </c>
    </row>
    <row r="28" spans="1:22" x14ac:dyDescent="0.2">
      <c r="A28" t="s">
        <v>78</v>
      </c>
      <c r="B28" t="s">
        <v>67</v>
      </c>
    </row>
    <row r="29" spans="1:22" x14ac:dyDescent="0.2">
      <c r="A29" t="s">
        <v>14</v>
      </c>
      <c r="B29" t="s">
        <v>67</v>
      </c>
    </row>
    <row r="30" spans="1:22" x14ac:dyDescent="0.2">
      <c r="A30" t="s">
        <v>79</v>
      </c>
      <c r="B30" t="s">
        <v>67</v>
      </c>
    </row>
    <row r="31" spans="1:22" x14ac:dyDescent="0.2">
      <c r="A31" t="s">
        <v>80</v>
      </c>
      <c r="B31" t="s">
        <v>67</v>
      </c>
    </row>
    <row r="32" spans="1:22" x14ac:dyDescent="0.2">
      <c r="A32" t="s">
        <v>81</v>
      </c>
      <c r="B32" t="s">
        <v>67</v>
      </c>
      <c r="C32">
        <v>56567.273000000016</v>
      </c>
      <c r="D32">
        <v>56783.913000000008</v>
      </c>
      <c r="E32">
        <v>59612.033000000025</v>
      </c>
      <c r="F32">
        <v>60821.234000000019</v>
      </c>
      <c r="G32">
        <v>61934.56700000001</v>
      </c>
      <c r="H32">
        <v>67742.705000000002</v>
      </c>
      <c r="I32">
        <v>69175.332000000024</v>
      </c>
      <c r="J32">
        <v>72921.934000000023</v>
      </c>
      <c r="K32">
        <v>75266.308000000005</v>
      </c>
      <c r="L32">
        <v>77260.873000000021</v>
      </c>
      <c r="M32">
        <v>82413.478000000017</v>
      </c>
      <c r="N32">
        <v>90797.415000000023</v>
      </c>
      <c r="O32">
        <v>94370.299000000028</v>
      </c>
      <c r="P32">
        <v>99764.718040692882</v>
      </c>
      <c r="Q32">
        <v>106041.48843895231</v>
      </c>
      <c r="R32">
        <v>101755.72023398273</v>
      </c>
      <c r="S32">
        <v>106114.7130963822</v>
      </c>
      <c r="T32">
        <v>111515.668592</v>
      </c>
      <c r="U32">
        <v>118003.90922897383</v>
      </c>
      <c r="V32">
        <v>126940.82670690287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DFB4-7C68-4CD9-A4F6-1837AAAC23FC}">
  <dimension ref="A1:V33"/>
  <sheetViews>
    <sheetView topLeftCell="E1" workbookViewId="0">
      <selection activeCell="V1" sqref="V1"/>
    </sheetView>
  </sheetViews>
  <sheetFormatPr defaultRowHeight="14.25" x14ac:dyDescent="0.2"/>
  <cols>
    <col min="1" max="1" width="32.125" bestFit="1" customWidth="1"/>
    <col min="2" max="2" width="6.5" bestFit="1" customWidth="1"/>
    <col min="3" max="8" width="7.875" bestFit="1" customWidth="1"/>
    <col min="9" max="15" width="8.875" bestFit="1" customWidth="1"/>
    <col min="16" max="19" width="11.875" bestFit="1" customWidth="1"/>
    <col min="20" max="21" width="10.875" bestFit="1" customWidth="1"/>
    <col min="22" max="22" width="11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67</v>
      </c>
      <c r="C2">
        <v>232.66</v>
      </c>
      <c r="D2">
        <v>382.21</v>
      </c>
      <c r="E2">
        <v>401.82</v>
      </c>
      <c r="F2">
        <v>198.39</v>
      </c>
      <c r="G2">
        <v>228.95</v>
      </c>
      <c r="H2">
        <v>365.91</v>
      </c>
      <c r="I2">
        <v>292.13</v>
      </c>
      <c r="J2">
        <v>241.71</v>
      </c>
      <c r="K2">
        <v>125.6</v>
      </c>
      <c r="L2">
        <v>66.099999999999994</v>
      </c>
      <c r="M2">
        <v>0</v>
      </c>
      <c r="N2">
        <v>9.3000000000000007</v>
      </c>
      <c r="O2">
        <v>438.67</v>
      </c>
      <c r="P2">
        <v>561.69000000000005</v>
      </c>
      <c r="Q2">
        <v>692.96</v>
      </c>
      <c r="R2">
        <v>554.11500000000001</v>
      </c>
      <c r="S2">
        <v>661.89</v>
      </c>
      <c r="T2">
        <v>705.33900000000006</v>
      </c>
      <c r="U2">
        <v>759.45799999999997</v>
      </c>
      <c r="V2">
        <v>632.78800000000001</v>
      </c>
    </row>
    <row r="3" spans="1:22" x14ac:dyDescent="0.2">
      <c r="A3" t="s">
        <v>26</v>
      </c>
      <c r="B3" t="s">
        <v>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t="s">
        <v>29</v>
      </c>
      <c r="B4" t="s">
        <v>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 t="s">
        <v>68</v>
      </c>
      <c r="B5" t="s">
        <v>67</v>
      </c>
    </row>
    <row r="6" spans="1:22" x14ac:dyDescent="0.2">
      <c r="A6" t="s">
        <v>21</v>
      </c>
      <c r="B6" t="s">
        <v>67</v>
      </c>
    </row>
    <row r="7" spans="1:22" x14ac:dyDescent="0.2">
      <c r="A7" t="s">
        <v>69</v>
      </c>
      <c r="B7" t="s">
        <v>67</v>
      </c>
    </row>
    <row r="8" spans="1:22" x14ac:dyDescent="0.2">
      <c r="A8" t="s">
        <v>70</v>
      </c>
      <c r="B8" t="s">
        <v>67</v>
      </c>
    </row>
    <row r="9" spans="1:22" x14ac:dyDescent="0.2">
      <c r="A9" t="s">
        <v>30</v>
      </c>
      <c r="B9" t="s">
        <v>67</v>
      </c>
      <c r="C9">
        <v>32.24</v>
      </c>
      <c r="D9">
        <v>27.14</v>
      </c>
      <c r="E9">
        <v>31.73</v>
      </c>
      <c r="F9">
        <v>37.119999999999997</v>
      </c>
      <c r="G9">
        <v>27.83</v>
      </c>
      <c r="H9">
        <v>31.17</v>
      </c>
      <c r="I9">
        <v>36.65</v>
      </c>
      <c r="J9">
        <v>47.51</v>
      </c>
      <c r="K9">
        <v>57.61</v>
      </c>
      <c r="L9">
        <v>62.65</v>
      </c>
      <c r="M9">
        <v>53.57</v>
      </c>
      <c r="N9">
        <v>59.84</v>
      </c>
      <c r="O9">
        <v>67.540000000000006</v>
      </c>
      <c r="P9">
        <v>82.7</v>
      </c>
      <c r="Q9">
        <v>136.11000000000001</v>
      </c>
      <c r="R9">
        <v>176.39</v>
      </c>
      <c r="S9">
        <v>114.3</v>
      </c>
      <c r="T9">
        <v>100.98399999999999</v>
      </c>
      <c r="U9">
        <v>98.064999999999998</v>
      </c>
      <c r="V9">
        <v>95.153000000000006</v>
      </c>
    </row>
    <row r="10" spans="1:22" x14ac:dyDescent="0.2">
      <c r="A10" t="s">
        <v>31</v>
      </c>
      <c r="B10" t="s">
        <v>67</v>
      </c>
    </row>
    <row r="11" spans="1:22" x14ac:dyDescent="0.2">
      <c r="A11" t="s">
        <v>71</v>
      </c>
      <c r="B11" t="s">
        <v>67</v>
      </c>
    </row>
    <row r="12" spans="1:22" x14ac:dyDescent="0.2">
      <c r="A12" t="s">
        <v>37</v>
      </c>
      <c r="B12" t="s">
        <v>67</v>
      </c>
      <c r="C12">
        <v>1010.74</v>
      </c>
      <c r="D12">
        <v>874.7</v>
      </c>
      <c r="E12">
        <v>827.48</v>
      </c>
      <c r="F12">
        <v>814.53</v>
      </c>
      <c r="G12">
        <v>510.72</v>
      </c>
      <c r="H12">
        <v>725.01</v>
      </c>
      <c r="I12">
        <v>922.06</v>
      </c>
      <c r="J12">
        <v>1029.1199999999999</v>
      </c>
      <c r="K12">
        <v>1158.78</v>
      </c>
      <c r="L12">
        <v>1883.49</v>
      </c>
      <c r="M12">
        <v>2370.0700000000002</v>
      </c>
      <c r="N12">
        <v>2943.77</v>
      </c>
      <c r="O12">
        <v>3053.49</v>
      </c>
      <c r="P12">
        <v>3439.0523196704926</v>
      </c>
      <c r="Q12">
        <v>4541.1868310221171</v>
      </c>
      <c r="R12">
        <v>5501.8976310945136</v>
      </c>
      <c r="S12">
        <v>4615.7344791374699</v>
      </c>
      <c r="T12">
        <v>4696.4929000000002</v>
      </c>
      <c r="U12">
        <v>3857.7073200000004</v>
      </c>
      <c r="V12">
        <v>3337.95426</v>
      </c>
    </row>
    <row r="13" spans="1:22" x14ac:dyDescent="0.2">
      <c r="A13" t="s">
        <v>72</v>
      </c>
      <c r="B13" t="s">
        <v>67</v>
      </c>
    </row>
    <row r="14" spans="1:22" x14ac:dyDescent="0.2">
      <c r="A14" t="s">
        <v>82</v>
      </c>
      <c r="B14" t="s">
        <v>67</v>
      </c>
      <c r="C14">
        <v>1720.99</v>
      </c>
      <c r="D14">
        <v>1489.35</v>
      </c>
      <c r="E14">
        <v>1408.96</v>
      </c>
      <c r="F14">
        <v>1386.91</v>
      </c>
      <c r="G14">
        <v>869.61</v>
      </c>
      <c r="H14">
        <v>1234.47</v>
      </c>
      <c r="I14">
        <v>1570</v>
      </c>
      <c r="J14">
        <v>1752.29</v>
      </c>
      <c r="K14">
        <v>1753.83</v>
      </c>
      <c r="L14">
        <v>2850.69</v>
      </c>
      <c r="M14">
        <v>3587.13</v>
      </c>
      <c r="N14">
        <v>4455.43</v>
      </c>
      <c r="O14">
        <v>4621.5</v>
      </c>
      <c r="P14">
        <v>5205.0455289066413</v>
      </c>
      <c r="Q14">
        <v>6873.1388805989836</v>
      </c>
      <c r="R14">
        <v>8327.1858068080837</v>
      </c>
      <c r="S14">
        <v>6985.9676096921494</v>
      </c>
      <c r="T14">
        <v>6771.69</v>
      </c>
      <c r="U14">
        <v>5838.6921600000014</v>
      </c>
      <c r="V14">
        <v>5052.0388800000001</v>
      </c>
    </row>
    <row r="15" spans="1:22" x14ac:dyDescent="0.2">
      <c r="A15" t="s">
        <v>83</v>
      </c>
      <c r="B15" t="s">
        <v>67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219.23</v>
      </c>
      <c r="L15">
        <v>356.34</v>
      </c>
      <c r="M15">
        <v>448.39</v>
      </c>
      <c r="N15">
        <v>556.92999999999995</v>
      </c>
      <c r="O15">
        <v>577.69000000000005</v>
      </c>
      <c r="P15">
        <v>650.63215142286492</v>
      </c>
      <c r="Q15">
        <v>859.1442883788975</v>
      </c>
      <c r="R15">
        <v>1040.9005620974015</v>
      </c>
      <c r="S15">
        <v>873.24791117038046</v>
      </c>
      <c r="T15">
        <v>0</v>
      </c>
      <c r="U15">
        <v>729.83652000000018</v>
      </c>
      <c r="V15">
        <v>631.50486000000001</v>
      </c>
    </row>
    <row r="16" spans="1:22" x14ac:dyDescent="0.2">
      <c r="A16" t="s">
        <v>39</v>
      </c>
      <c r="B16" t="s">
        <v>67</v>
      </c>
      <c r="C16">
        <v>2986.31</v>
      </c>
      <c r="D16">
        <v>3308.76</v>
      </c>
      <c r="E16">
        <v>3589.87</v>
      </c>
      <c r="F16">
        <v>4031.34</v>
      </c>
      <c r="G16">
        <v>5212.17</v>
      </c>
      <c r="H16">
        <v>6148.15</v>
      </c>
      <c r="I16">
        <v>7496.8</v>
      </c>
      <c r="J16">
        <v>7697.84</v>
      </c>
      <c r="K16">
        <v>8713.0300000000007</v>
      </c>
      <c r="L16">
        <v>8790.99</v>
      </c>
      <c r="M16">
        <v>9359.7900000000009</v>
      </c>
      <c r="N16">
        <v>9714.7199999999993</v>
      </c>
      <c r="O16">
        <v>11161.26</v>
      </c>
      <c r="P16">
        <v>12359.13</v>
      </c>
      <c r="Q16">
        <v>10032.27</v>
      </c>
      <c r="R16">
        <v>8025.0709999999999</v>
      </c>
      <c r="S16">
        <v>9919.25</v>
      </c>
      <c r="T16">
        <v>9021.0030000000006</v>
      </c>
      <c r="U16">
        <v>9281.8670000000002</v>
      </c>
      <c r="V16">
        <v>8738.6880000000001</v>
      </c>
    </row>
    <row r="17" spans="1:22" x14ac:dyDescent="0.2">
      <c r="A17" t="s">
        <v>41</v>
      </c>
      <c r="B17" t="s">
        <v>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T17">
        <v>48.926000000000002</v>
      </c>
    </row>
    <row r="18" spans="1:22" x14ac:dyDescent="0.2">
      <c r="A18" t="s">
        <v>40</v>
      </c>
      <c r="B18" t="s">
        <v>67</v>
      </c>
    </row>
    <row r="19" spans="1:22" x14ac:dyDescent="0.2">
      <c r="A19" t="s">
        <v>73</v>
      </c>
      <c r="B19" t="s">
        <v>67</v>
      </c>
    </row>
    <row r="20" spans="1:22" x14ac:dyDescent="0.2">
      <c r="A20" t="s">
        <v>38</v>
      </c>
      <c r="B20" t="s">
        <v>67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">
      <c r="A21" t="s">
        <v>42</v>
      </c>
      <c r="B21" t="s">
        <v>67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4.32</v>
      </c>
      <c r="J21">
        <v>4.32</v>
      </c>
      <c r="K21">
        <v>0</v>
      </c>
      <c r="L21">
        <v>0</v>
      </c>
      <c r="M21">
        <v>0</v>
      </c>
      <c r="N21">
        <v>0</v>
      </c>
      <c r="O21">
        <v>0</v>
      </c>
      <c r="P21">
        <v>11.8</v>
      </c>
      <c r="Q21">
        <v>67.92</v>
      </c>
      <c r="R21">
        <v>105.40300000000001</v>
      </c>
      <c r="S21">
        <v>111.858</v>
      </c>
      <c r="T21">
        <v>194.40899999999999</v>
      </c>
      <c r="U21">
        <v>387.66699999999997</v>
      </c>
      <c r="V21">
        <v>494.39425</v>
      </c>
    </row>
    <row r="22" spans="1:22" x14ac:dyDescent="0.2">
      <c r="A22" t="s">
        <v>74</v>
      </c>
      <c r="B22" t="s">
        <v>67</v>
      </c>
    </row>
    <row r="23" spans="1:22" x14ac:dyDescent="0.2">
      <c r="A23" t="s">
        <v>75</v>
      </c>
      <c r="B23" t="s">
        <v>67</v>
      </c>
    </row>
    <row r="24" spans="1:22" x14ac:dyDescent="0.2">
      <c r="A24" t="s">
        <v>44</v>
      </c>
      <c r="B24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0.02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">
      <c r="A25" t="s">
        <v>18</v>
      </c>
      <c r="B25" t="s">
        <v>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">
      <c r="A26" t="s">
        <v>16</v>
      </c>
      <c r="B26" t="s">
        <v>67</v>
      </c>
    </row>
    <row r="27" spans="1:22" x14ac:dyDescent="0.2">
      <c r="A27" t="s">
        <v>76</v>
      </c>
      <c r="B27" t="s">
        <v>67</v>
      </c>
    </row>
    <row r="28" spans="1:22" x14ac:dyDescent="0.2">
      <c r="A28" t="s">
        <v>77</v>
      </c>
      <c r="B28" t="s">
        <v>67</v>
      </c>
    </row>
    <row r="29" spans="1:22" x14ac:dyDescent="0.2">
      <c r="A29" t="s">
        <v>78</v>
      </c>
      <c r="B29" t="s">
        <v>67</v>
      </c>
    </row>
    <row r="30" spans="1:22" x14ac:dyDescent="0.2">
      <c r="A30" t="s">
        <v>14</v>
      </c>
      <c r="B30" t="s">
        <v>67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">
      <c r="A31" t="s">
        <v>79</v>
      </c>
      <c r="B31" t="s">
        <v>67</v>
      </c>
    </row>
    <row r="32" spans="1:22" x14ac:dyDescent="0.2">
      <c r="A32" t="s">
        <v>80</v>
      </c>
      <c r="B32" t="s">
        <v>67</v>
      </c>
    </row>
    <row r="33" spans="1:22" x14ac:dyDescent="0.2">
      <c r="A33" t="s">
        <v>81</v>
      </c>
      <c r="B33" t="s">
        <v>67</v>
      </c>
      <c r="C33">
        <v>5982.9400000000005</v>
      </c>
      <c r="D33">
        <v>6082.16</v>
      </c>
      <c r="E33">
        <v>6259.86</v>
      </c>
      <c r="F33">
        <v>6468.29</v>
      </c>
      <c r="G33">
        <v>6849.2800000000007</v>
      </c>
      <c r="H33">
        <v>8504.73</v>
      </c>
      <c r="I33">
        <v>10321.959999999999</v>
      </c>
      <c r="J33">
        <v>10772.79</v>
      </c>
      <c r="K33">
        <v>12028.08</v>
      </c>
      <c r="L33">
        <v>14010.26</v>
      </c>
      <c r="M33">
        <v>15818.95</v>
      </c>
      <c r="N33">
        <v>17739.989999999998</v>
      </c>
      <c r="O33">
        <v>19920.149999999998</v>
      </c>
      <c r="P33">
        <v>22310.049999999996</v>
      </c>
      <c r="Q33">
        <v>23202.729999999996</v>
      </c>
      <c r="R33">
        <v>23730.963</v>
      </c>
      <c r="S33">
        <v>23282.248</v>
      </c>
      <c r="T33">
        <v>21538.8439</v>
      </c>
      <c r="U33">
        <v>20953.293000000001</v>
      </c>
      <c r="V33">
        <v>18982.521250000002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A83D-2B15-4D24-BF71-489536D17807}">
  <dimension ref="A1:V34"/>
  <sheetViews>
    <sheetView topLeftCell="B1" workbookViewId="0">
      <selection activeCell="V1" sqref="V1"/>
    </sheetView>
  </sheetViews>
  <sheetFormatPr defaultRowHeight="14.25" x14ac:dyDescent="0.2"/>
  <cols>
    <col min="1" max="1" width="26.875" bestFit="1" customWidth="1"/>
    <col min="2" max="2" width="6.5" bestFit="1" customWidth="1"/>
    <col min="3" max="9" width="6.875" bestFit="1" customWidth="1"/>
    <col min="10" max="11" width="8.875" bestFit="1" customWidth="1"/>
    <col min="12" max="12" width="6.875" bestFit="1" customWidth="1"/>
    <col min="13" max="13" width="8.875" bestFit="1" customWidth="1"/>
    <col min="14" max="14" width="6.875" bestFit="1" customWidth="1"/>
    <col min="15" max="15" width="8.875" bestFit="1" customWidth="1"/>
    <col min="16" max="19" width="11.875" bestFit="1" customWidth="1"/>
    <col min="20" max="20" width="7.875" bestFit="1" customWidth="1"/>
    <col min="21" max="22" width="6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67</v>
      </c>
      <c r="C2">
        <v>24228.000000000004</v>
      </c>
      <c r="D2">
        <v>26527</v>
      </c>
      <c r="E2">
        <v>32932.000000000007</v>
      </c>
      <c r="F2">
        <v>36585.000000000007</v>
      </c>
      <c r="G2">
        <v>44329.000000000007</v>
      </c>
      <c r="H2">
        <v>47595</v>
      </c>
      <c r="I2">
        <v>48932.000000000007</v>
      </c>
      <c r="J2">
        <v>52584.000000000007</v>
      </c>
      <c r="K2">
        <v>50747</v>
      </c>
      <c r="L2">
        <v>50536</v>
      </c>
      <c r="M2">
        <v>52004.000000000007</v>
      </c>
      <c r="N2">
        <v>51853</v>
      </c>
      <c r="O2">
        <v>51642.999999999993</v>
      </c>
      <c r="P2">
        <v>61828.800000000003</v>
      </c>
      <c r="Q2">
        <v>61128.800000000003</v>
      </c>
      <c r="R2">
        <v>71100.288000000015</v>
      </c>
      <c r="S2">
        <v>67867.325759999992</v>
      </c>
      <c r="T2">
        <v>65777.600000000006</v>
      </c>
      <c r="U2">
        <v>68496</v>
      </c>
      <c r="V2">
        <v>71604</v>
      </c>
    </row>
    <row r="3" spans="1:22" x14ac:dyDescent="0.2">
      <c r="A3" t="s">
        <v>26</v>
      </c>
      <c r="B3" t="s">
        <v>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t="s">
        <v>29</v>
      </c>
      <c r="B4" t="s">
        <v>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4655.0000000000009</v>
      </c>
      <c r="N4">
        <v>11304</v>
      </c>
      <c r="O4">
        <v>14050.000000000004</v>
      </c>
      <c r="P4">
        <v>15457.2</v>
      </c>
      <c r="Q4">
        <v>15282.2</v>
      </c>
      <c r="R4">
        <v>17775.072000000004</v>
      </c>
      <c r="S4">
        <v>16966.831439999998</v>
      </c>
      <c r="T4">
        <v>16444.400000000001</v>
      </c>
      <c r="U4">
        <v>17124</v>
      </c>
      <c r="V4">
        <v>17901</v>
      </c>
    </row>
    <row r="5" spans="1:22" x14ac:dyDescent="0.2">
      <c r="A5" t="s">
        <v>68</v>
      </c>
      <c r="B5" t="s">
        <v>67</v>
      </c>
    </row>
    <row r="6" spans="1:22" x14ac:dyDescent="0.2">
      <c r="A6" t="s">
        <v>21</v>
      </c>
      <c r="B6" t="s">
        <v>67</v>
      </c>
    </row>
    <row r="7" spans="1:22" x14ac:dyDescent="0.2">
      <c r="A7" t="s">
        <v>69</v>
      </c>
      <c r="B7" t="s">
        <v>67</v>
      </c>
    </row>
    <row r="8" spans="1:22" x14ac:dyDescent="0.2">
      <c r="A8" t="s">
        <v>70</v>
      </c>
      <c r="B8" t="s">
        <v>67</v>
      </c>
    </row>
    <row r="9" spans="1:22" x14ac:dyDescent="0.2">
      <c r="A9" t="s">
        <v>30</v>
      </c>
      <c r="B9" t="s">
        <v>67</v>
      </c>
      <c r="C9">
        <v>1395.9999999999998</v>
      </c>
      <c r="D9">
        <v>1908.0000000000002</v>
      </c>
      <c r="E9">
        <v>1768.0000000000002</v>
      </c>
      <c r="F9">
        <v>1649</v>
      </c>
      <c r="G9">
        <v>1725.9999999999998</v>
      </c>
      <c r="H9">
        <v>1659</v>
      </c>
      <c r="I9">
        <v>9403.0000000000018</v>
      </c>
      <c r="J9">
        <v>6014</v>
      </c>
      <c r="K9">
        <v>5339.0000000000018</v>
      </c>
      <c r="L9">
        <v>3490</v>
      </c>
      <c r="M9">
        <v>1739</v>
      </c>
      <c r="N9">
        <v>1184</v>
      </c>
      <c r="O9">
        <v>1695</v>
      </c>
      <c r="P9">
        <v>929</v>
      </c>
      <c r="Q9">
        <v>1010</v>
      </c>
      <c r="R9">
        <v>845.96027600000002</v>
      </c>
      <c r="S9">
        <v>975.21510562000003</v>
      </c>
      <c r="T9">
        <v>2803</v>
      </c>
      <c r="U9">
        <v>2752</v>
      </c>
      <c r="V9">
        <v>1238</v>
      </c>
    </row>
    <row r="10" spans="1:22" x14ac:dyDescent="0.2">
      <c r="A10" t="s">
        <v>31</v>
      </c>
      <c r="B10" t="s">
        <v>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t="s">
        <v>71</v>
      </c>
      <c r="B11" t="s">
        <v>67</v>
      </c>
    </row>
    <row r="12" spans="1:22" x14ac:dyDescent="0.2">
      <c r="A12" t="s">
        <v>36</v>
      </c>
      <c r="B12" t="s">
        <v>67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">
      <c r="A13" t="s">
        <v>72</v>
      </c>
      <c r="B13" t="s">
        <v>67</v>
      </c>
    </row>
    <row r="14" spans="1:22" x14ac:dyDescent="0.2">
      <c r="A14" t="s">
        <v>32</v>
      </c>
      <c r="B14" t="s">
        <v>67</v>
      </c>
      <c r="C14">
        <v>61396</v>
      </c>
      <c r="D14">
        <v>64768.000000000007</v>
      </c>
      <c r="E14">
        <v>65568</v>
      </c>
      <c r="F14">
        <v>67779.000000000015</v>
      </c>
      <c r="G14">
        <v>63370.000000000015</v>
      </c>
      <c r="H14">
        <v>61342</v>
      </c>
      <c r="I14">
        <v>55732</v>
      </c>
      <c r="J14">
        <v>62699</v>
      </c>
      <c r="K14">
        <v>67760.999999999985</v>
      </c>
      <c r="L14">
        <v>73836.000000000015</v>
      </c>
      <c r="M14">
        <v>69962.000000000015</v>
      </c>
      <c r="N14">
        <v>66833</v>
      </c>
      <c r="O14">
        <v>62131.000000000007</v>
      </c>
      <c r="P14">
        <v>64053</v>
      </c>
      <c r="Q14">
        <v>72280</v>
      </c>
      <c r="R14">
        <v>53690.939371240791</v>
      </c>
      <c r="S14">
        <v>58418.957144864005</v>
      </c>
      <c r="T14">
        <v>70289</v>
      </c>
      <c r="U14">
        <v>74826</v>
      </c>
      <c r="V14">
        <v>75168</v>
      </c>
    </row>
    <row r="15" spans="1:22" x14ac:dyDescent="0.2">
      <c r="A15" t="s">
        <v>39</v>
      </c>
      <c r="B15" t="s">
        <v>67</v>
      </c>
      <c r="C15">
        <v>6007.0000000000009</v>
      </c>
      <c r="D15">
        <v>6323</v>
      </c>
      <c r="E15">
        <v>5957.0000000000018</v>
      </c>
      <c r="F15">
        <v>7807.0000000000045</v>
      </c>
      <c r="G15">
        <v>6889.9999999999991</v>
      </c>
      <c r="H15">
        <v>6361</v>
      </c>
      <c r="I15">
        <v>8055.9999999999982</v>
      </c>
      <c r="J15">
        <v>9056</v>
      </c>
      <c r="K15">
        <v>10586</v>
      </c>
      <c r="L15">
        <v>13388</v>
      </c>
      <c r="M15">
        <v>13923.999999999998</v>
      </c>
      <c r="N15">
        <v>20024.000000000004</v>
      </c>
      <c r="O15">
        <v>26846</v>
      </c>
      <c r="P15">
        <v>26325</v>
      </c>
      <c r="Q15">
        <v>26196</v>
      </c>
      <c r="R15">
        <v>27299.327008956858</v>
      </c>
      <c r="S15">
        <v>31105.085638</v>
      </c>
      <c r="T15">
        <v>31934</v>
      </c>
      <c r="U15">
        <v>32014</v>
      </c>
      <c r="V15">
        <v>33697</v>
      </c>
    </row>
    <row r="16" spans="1:22" x14ac:dyDescent="0.2">
      <c r="A16" t="s">
        <v>41</v>
      </c>
      <c r="B16" t="s">
        <v>67</v>
      </c>
    </row>
    <row r="17" spans="1:22" x14ac:dyDescent="0.2">
      <c r="A17" t="s">
        <v>40</v>
      </c>
      <c r="B17" t="s">
        <v>67</v>
      </c>
    </row>
    <row r="18" spans="1:22" x14ac:dyDescent="0.2">
      <c r="A18" t="s">
        <v>73</v>
      </c>
      <c r="B18" t="s">
        <v>67</v>
      </c>
    </row>
    <row r="19" spans="1:22" x14ac:dyDescent="0.2">
      <c r="A19" t="s">
        <v>38</v>
      </c>
      <c r="B19" t="s">
        <v>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t="s">
        <v>42</v>
      </c>
      <c r="B20" t="s">
        <v>67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47.2</v>
      </c>
      <c r="K20">
        <v>140.50000000000003</v>
      </c>
      <c r="L20">
        <v>226.89999999999998</v>
      </c>
      <c r="M20">
        <v>273.2</v>
      </c>
      <c r="N20">
        <v>310.5</v>
      </c>
      <c r="O20">
        <v>330.3</v>
      </c>
      <c r="P20">
        <v>632</v>
      </c>
      <c r="Q20">
        <v>1459</v>
      </c>
      <c r="R20">
        <v>2058.8548462999961</v>
      </c>
      <c r="S20">
        <v>2101.5237910000001</v>
      </c>
      <c r="T20">
        <v>3412</v>
      </c>
      <c r="U20">
        <v>4403</v>
      </c>
      <c r="V20">
        <v>6369</v>
      </c>
    </row>
    <row r="21" spans="1:22" x14ac:dyDescent="0.2">
      <c r="A21" t="s">
        <v>74</v>
      </c>
      <c r="B21" t="s">
        <v>67</v>
      </c>
    </row>
    <row r="22" spans="1:22" x14ac:dyDescent="0.2">
      <c r="A22" t="s">
        <v>75</v>
      </c>
      <c r="B22" t="s">
        <v>67</v>
      </c>
    </row>
    <row r="23" spans="1:22" x14ac:dyDescent="0.2">
      <c r="A23" t="s">
        <v>44</v>
      </c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">
      <c r="A24" t="s">
        <v>18</v>
      </c>
      <c r="B24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792.50000000000011</v>
      </c>
      <c r="K24">
        <v>1107.9999999999998</v>
      </c>
      <c r="L24">
        <v>648.69999999999982</v>
      </c>
      <c r="M24">
        <v>685.6</v>
      </c>
      <c r="N24">
        <v>685.90000000000009</v>
      </c>
      <c r="O24">
        <v>611.29999999999995</v>
      </c>
      <c r="P24">
        <v>1141.9611449115043</v>
      </c>
      <c r="Q24">
        <v>960.22787610619469</v>
      </c>
      <c r="R24">
        <v>1042.5622518763828</v>
      </c>
      <c r="S24">
        <v>1036.6340623796862</v>
      </c>
      <c r="T24">
        <v>919</v>
      </c>
      <c r="U24">
        <v>1072</v>
      </c>
      <c r="V24">
        <v>1006</v>
      </c>
    </row>
    <row r="25" spans="1:22" x14ac:dyDescent="0.2">
      <c r="A25" t="s">
        <v>16</v>
      </c>
      <c r="B25" t="s">
        <v>67</v>
      </c>
    </row>
    <row r="26" spans="1:22" x14ac:dyDescent="0.2">
      <c r="A26" t="s">
        <v>76</v>
      </c>
      <c r="B26" t="s">
        <v>67</v>
      </c>
    </row>
    <row r="27" spans="1:22" x14ac:dyDescent="0.2">
      <c r="A27" t="s">
        <v>77</v>
      </c>
      <c r="B27" t="s">
        <v>67</v>
      </c>
    </row>
    <row r="28" spans="1:22" x14ac:dyDescent="0.2">
      <c r="A28" t="s">
        <v>78</v>
      </c>
      <c r="B28" t="s">
        <v>67</v>
      </c>
    </row>
    <row r="29" spans="1:22" x14ac:dyDescent="0.2">
      <c r="A29" t="s">
        <v>14</v>
      </c>
      <c r="B29" t="s">
        <v>67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8.0000000000000018</v>
      </c>
      <c r="K29">
        <v>6.8999999999999986</v>
      </c>
      <c r="L29">
        <v>15.400000000000002</v>
      </c>
      <c r="M29">
        <v>44.699999999999989</v>
      </c>
      <c r="N29">
        <v>38.599999999999994</v>
      </c>
      <c r="O29">
        <v>111.89999999999998</v>
      </c>
      <c r="P29">
        <v>209.03885508849555</v>
      </c>
      <c r="Q29">
        <v>175.77212389380529</v>
      </c>
      <c r="R29">
        <v>190.8436381236173</v>
      </c>
      <c r="S29">
        <v>189.75846815031392</v>
      </c>
      <c r="T29">
        <v>545</v>
      </c>
      <c r="U29">
        <v>580</v>
      </c>
      <c r="V29">
        <v>699</v>
      </c>
    </row>
    <row r="30" spans="1:22" x14ac:dyDescent="0.2">
      <c r="A30" t="s">
        <v>79</v>
      </c>
      <c r="B30" t="s">
        <v>67</v>
      </c>
    </row>
    <row r="31" spans="1:22" x14ac:dyDescent="0.2">
      <c r="A31" t="s">
        <v>80</v>
      </c>
      <c r="B31" t="s">
        <v>67</v>
      </c>
    </row>
    <row r="32" spans="1:22" x14ac:dyDescent="0.2">
      <c r="A32" t="s">
        <v>34</v>
      </c>
      <c r="B32" t="s">
        <v>67</v>
      </c>
    </row>
    <row r="33" spans="1:22" x14ac:dyDescent="0.2">
      <c r="A33" t="s">
        <v>43</v>
      </c>
      <c r="B33" t="s">
        <v>67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">
      <c r="A34" t="s">
        <v>81</v>
      </c>
      <c r="B34" t="s">
        <v>67</v>
      </c>
      <c r="C34">
        <v>93027</v>
      </c>
      <c r="D34">
        <v>99526</v>
      </c>
      <c r="E34">
        <v>106225</v>
      </c>
      <c r="F34">
        <v>113820.00000000003</v>
      </c>
      <c r="G34">
        <v>116315.00000000003</v>
      </c>
      <c r="H34">
        <v>116957</v>
      </c>
      <c r="I34">
        <v>122123</v>
      </c>
      <c r="J34">
        <v>131200.70000000001</v>
      </c>
      <c r="K34">
        <v>135688.4</v>
      </c>
      <c r="L34">
        <v>142141</v>
      </c>
      <c r="M34">
        <v>143287.50000000006</v>
      </c>
      <c r="N34">
        <v>152233</v>
      </c>
      <c r="O34">
        <v>157418.49999999997</v>
      </c>
      <c r="P34">
        <v>170576</v>
      </c>
      <c r="Q34">
        <v>178492</v>
      </c>
      <c r="R34">
        <v>174003.84739249767</v>
      </c>
      <c r="S34">
        <v>178661.33141001398</v>
      </c>
      <c r="T34">
        <v>192124</v>
      </c>
      <c r="U34">
        <v>201267</v>
      </c>
      <c r="V34">
        <v>207682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2865-CA5C-4598-8756-5DF30F735A97}">
  <dimension ref="A1:V32"/>
  <sheetViews>
    <sheetView topLeftCell="B1" workbookViewId="0">
      <selection activeCell="V1" sqref="V1"/>
    </sheetView>
  </sheetViews>
  <sheetFormatPr defaultRowHeight="14.25" x14ac:dyDescent="0.2"/>
  <cols>
    <col min="1" max="1" width="26.875" bestFit="1" customWidth="1"/>
    <col min="2" max="2" width="6.5" bestFit="1" customWidth="1"/>
    <col min="3" max="8" width="7.875" bestFit="1" customWidth="1"/>
    <col min="9" max="9" width="8.875" bestFit="1" customWidth="1"/>
    <col min="10" max="10" width="7.875" bestFit="1" customWidth="1"/>
    <col min="11" max="12" width="8.875" bestFit="1" customWidth="1"/>
    <col min="13" max="14" width="7.875" bestFit="1" customWidth="1"/>
    <col min="15" max="15" width="8.875" bestFit="1" customWidth="1"/>
    <col min="16" max="18" width="11.875" bestFit="1" customWidth="1"/>
    <col min="19" max="19" width="7.875" bestFit="1" customWidth="1"/>
    <col min="20" max="20" width="6.875" bestFit="1" customWidth="1"/>
    <col min="21" max="22" width="11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67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2245.5</v>
      </c>
      <c r="N2">
        <v>7961.9</v>
      </c>
      <c r="O2">
        <v>10927.2</v>
      </c>
      <c r="P2">
        <v>13655.81685980459</v>
      </c>
      <c r="Q2">
        <v>12958.611679163827</v>
      </c>
      <c r="R2">
        <v>12900.651737105203</v>
      </c>
      <c r="S2">
        <v>11881</v>
      </c>
      <c r="T2">
        <v>12179</v>
      </c>
      <c r="U2">
        <v>12179</v>
      </c>
      <c r="V2">
        <v>12366.501254042101</v>
      </c>
    </row>
    <row r="3" spans="1:22" x14ac:dyDescent="0.2">
      <c r="A3" t="s">
        <v>26</v>
      </c>
      <c r="B3" t="s">
        <v>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t="s">
        <v>29</v>
      </c>
      <c r="B4" t="s">
        <v>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 t="s">
        <v>68</v>
      </c>
      <c r="B5" t="s">
        <v>67</v>
      </c>
    </row>
    <row r="6" spans="1:22" x14ac:dyDescent="0.2">
      <c r="A6" t="s">
        <v>21</v>
      </c>
      <c r="B6" t="s">
        <v>67</v>
      </c>
    </row>
    <row r="7" spans="1:22" x14ac:dyDescent="0.2">
      <c r="A7" t="s">
        <v>69</v>
      </c>
      <c r="B7" t="s">
        <v>67</v>
      </c>
    </row>
    <row r="8" spans="1:22" x14ac:dyDescent="0.2">
      <c r="A8" t="s">
        <v>70</v>
      </c>
      <c r="B8" t="s">
        <v>67</v>
      </c>
    </row>
    <row r="9" spans="1:22" x14ac:dyDescent="0.2">
      <c r="A9" t="s">
        <v>30</v>
      </c>
      <c r="B9" t="s">
        <v>67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">
      <c r="A10" t="s">
        <v>31</v>
      </c>
      <c r="B10" t="s">
        <v>67</v>
      </c>
    </row>
    <row r="11" spans="1:22" x14ac:dyDescent="0.2">
      <c r="A11" t="s">
        <v>71</v>
      </c>
      <c r="B11" t="s">
        <v>67</v>
      </c>
    </row>
    <row r="12" spans="1:22" x14ac:dyDescent="0.2">
      <c r="A12" t="s">
        <v>36</v>
      </c>
      <c r="B12" t="s">
        <v>67</v>
      </c>
    </row>
    <row r="13" spans="1:22" x14ac:dyDescent="0.2">
      <c r="A13" t="s">
        <v>72</v>
      </c>
      <c r="B13" t="s">
        <v>67</v>
      </c>
    </row>
    <row r="14" spans="1:22" x14ac:dyDescent="0.2">
      <c r="A14" t="s">
        <v>32</v>
      </c>
      <c r="B14" t="s">
        <v>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">
      <c r="A15" t="s">
        <v>39</v>
      </c>
      <c r="B15" t="s">
        <v>67</v>
      </c>
      <c r="C15">
        <v>3510</v>
      </c>
      <c r="D15">
        <v>3595.8</v>
      </c>
      <c r="E15">
        <v>3373.6</v>
      </c>
      <c r="F15">
        <v>3717</v>
      </c>
      <c r="G15">
        <v>3384.3</v>
      </c>
      <c r="H15">
        <v>8449.01</v>
      </c>
      <c r="I15">
        <v>12980.1</v>
      </c>
      <c r="J15">
        <v>12760.1</v>
      </c>
      <c r="K15">
        <v>15506.5</v>
      </c>
      <c r="L15">
        <v>15633.3</v>
      </c>
      <c r="M15">
        <v>14252</v>
      </c>
      <c r="N15">
        <v>17348.5</v>
      </c>
      <c r="O15">
        <v>20361.400000000001</v>
      </c>
      <c r="P15">
        <v>22998.908666122446</v>
      </c>
      <c r="Q15">
        <v>20140.37755102041</v>
      </c>
      <c r="R15">
        <v>29089.748360403573</v>
      </c>
      <c r="S15">
        <v>32917</v>
      </c>
      <c r="T15">
        <v>38736</v>
      </c>
      <c r="U15">
        <v>37248.641418367348</v>
      </c>
      <c r="V15">
        <v>40424.5430614703</v>
      </c>
    </row>
    <row r="16" spans="1:22" x14ac:dyDescent="0.2">
      <c r="A16" t="s">
        <v>41</v>
      </c>
      <c r="B16" t="s">
        <v>67</v>
      </c>
    </row>
    <row r="17" spans="1:22" x14ac:dyDescent="0.2">
      <c r="A17" t="s">
        <v>40</v>
      </c>
      <c r="B17" t="s">
        <v>67</v>
      </c>
    </row>
    <row r="18" spans="1:22" x14ac:dyDescent="0.2">
      <c r="A18" t="s">
        <v>73</v>
      </c>
      <c r="B18" t="s">
        <v>67</v>
      </c>
    </row>
    <row r="19" spans="1:22" x14ac:dyDescent="0.2">
      <c r="A19" t="s">
        <v>38</v>
      </c>
      <c r="B19" t="s">
        <v>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t="s">
        <v>42</v>
      </c>
      <c r="B20" t="s">
        <v>67</v>
      </c>
      <c r="C20">
        <v>0.41</v>
      </c>
      <c r="D20">
        <v>0.41</v>
      </c>
      <c r="E20">
        <v>0.41</v>
      </c>
      <c r="F20">
        <v>0.41</v>
      </c>
      <c r="G20">
        <v>0.56999999999999995</v>
      </c>
      <c r="H20">
        <v>0.66</v>
      </c>
      <c r="I20">
        <v>0.64</v>
      </c>
      <c r="J20">
        <v>0.7</v>
      </c>
      <c r="K20">
        <v>0.82</v>
      </c>
      <c r="L20">
        <v>0.83</v>
      </c>
      <c r="M20">
        <v>1.1399999999999999</v>
      </c>
      <c r="N20">
        <v>1.47</v>
      </c>
      <c r="O20">
        <v>8.98</v>
      </c>
      <c r="P20">
        <v>59.819507199999997</v>
      </c>
      <c r="Q20">
        <v>41.32</v>
      </c>
      <c r="R20">
        <v>61.578079000000002</v>
      </c>
      <c r="S20">
        <v>67</v>
      </c>
      <c r="T20">
        <v>79</v>
      </c>
      <c r="U20">
        <v>95.825337755102055</v>
      </c>
      <c r="V20">
        <v>114.15640500000001</v>
      </c>
    </row>
    <row r="21" spans="1:22" x14ac:dyDescent="0.2">
      <c r="A21" t="s">
        <v>74</v>
      </c>
      <c r="B21" t="s">
        <v>67</v>
      </c>
    </row>
    <row r="22" spans="1:22" x14ac:dyDescent="0.2">
      <c r="A22" t="s">
        <v>75</v>
      </c>
      <c r="B22" t="s">
        <v>67</v>
      </c>
    </row>
    <row r="23" spans="1:22" x14ac:dyDescent="0.2">
      <c r="A23" t="s">
        <v>44</v>
      </c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">
      <c r="A24" t="s">
        <v>18</v>
      </c>
      <c r="B24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5.4</v>
      </c>
      <c r="L24">
        <v>5.2</v>
      </c>
      <c r="M24">
        <v>3.56</v>
      </c>
      <c r="N24">
        <v>4.7300000000000004</v>
      </c>
      <c r="O24">
        <v>26.16</v>
      </c>
      <c r="P24">
        <v>46.836734693877553</v>
      </c>
      <c r="Q24">
        <v>48.265306122448976</v>
      </c>
      <c r="R24">
        <v>58.17811224489796</v>
      </c>
      <c r="S24">
        <v>48.7</v>
      </c>
      <c r="T24">
        <v>36</v>
      </c>
      <c r="U24">
        <v>27.589676530612245</v>
      </c>
      <c r="V24">
        <v>39.442900999999999</v>
      </c>
    </row>
    <row r="25" spans="1:22" x14ac:dyDescent="0.2">
      <c r="A25" t="s">
        <v>16</v>
      </c>
      <c r="B25" t="s">
        <v>67</v>
      </c>
    </row>
    <row r="26" spans="1:22" x14ac:dyDescent="0.2">
      <c r="A26" t="s">
        <v>76</v>
      </c>
      <c r="B26" t="s">
        <v>67</v>
      </c>
    </row>
    <row r="27" spans="1:22" x14ac:dyDescent="0.2">
      <c r="A27" t="s">
        <v>77</v>
      </c>
      <c r="B27" t="s">
        <v>67</v>
      </c>
    </row>
    <row r="28" spans="1:22" x14ac:dyDescent="0.2">
      <c r="A28" t="s">
        <v>78</v>
      </c>
      <c r="B28" t="s">
        <v>67</v>
      </c>
    </row>
    <row r="29" spans="1:22" x14ac:dyDescent="0.2">
      <c r="A29" t="s">
        <v>14</v>
      </c>
      <c r="B29" t="s">
        <v>67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">
      <c r="A30" t="s">
        <v>79</v>
      </c>
      <c r="B30" t="s">
        <v>67</v>
      </c>
    </row>
    <row r="31" spans="1:22" x14ac:dyDescent="0.2">
      <c r="A31" t="s">
        <v>80</v>
      </c>
      <c r="B31" t="s">
        <v>67</v>
      </c>
    </row>
    <row r="32" spans="1:22" x14ac:dyDescent="0.2">
      <c r="A32" t="s">
        <v>81</v>
      </c>
      <c r="B32" t="s">
        <v>67</v>
      </c>
      <c r="C32">
        <v>3510.41</v>
      </c>
      <c r="D32">
        <v>3596.21</v>
      </c>
      <c r="E32">
        <v>3374.0099999999998</v>
      </c>
      <c r="F32">
        <v>3717.41</v>
      </c>
      <c r="G32">
        <v>3384.8700000000003</v>
      </c>
      <c r="H32">
        <v>8449.67</v>
      </c>
      <c r="I32">
        <v>12980.74</v>
      </c>
      <c r="J32">
        <v>12760.800000000001</v>
      </c>
      <c r="K32">
        <v>15512.72</v>
      </c>
      <c r="L32">
        <v>15639.33</v>
      </c>
      <c r="M32">
        <v>16502.2</v>
      </c>
      <c r="N32">
        <v>25316.600000000002</v>
      </c>
      <c r="O32">
        <v>31323.74</v>
      </c>
      <c r="P32">
        <v>36761.381767820916</v>
      </c>
      <c r="Q32">
        <v>33188.574536306682</v>
      </c>
      <c r="R32">
        <v>42110.156288753671</v>
      </c>
      <c r="S32">
        <v>44913.7</v>
      </c>
      <c r="T32">
        <v>51030</v>
      </c>
      <c r="U32">
        <v>49551.056432653058</v>
      </c>
      <c r="V32">
        <v>52944.643621512405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BA6F-BCF6-4C2D-B15D-529EE7B33FF8}">
  <dimension ref="A1:V34"/>
  <sheetViews>
    <sheetView workbookViewId="0">
      <selection activeCell="C1" sqref="C1"/>
    </sheetView>
  </sheetViews>
  <sheetFormatPr defaultRowHeight="14.25" x14ac:dyDescent="0.2"/>
  <cols>
    <col min="1" max="1" width="26.875" bestFit="1" customWidth="1"/>
    <col min="2" max="2" width="6.5" bestFit="1" customWidth="1"/>
    <col min="3" max="4" width="6.875" bestFit="1" customWidth="1"/>
    <col min="5" max="5" width="9.875" bestFit="1" customWidth="1"/>
    <col min="6" max="7" width="8.875" bestFit="1" customWidth="1"/>
    <col min="8" max="14" width="10.875" bestFit="1" customWidth="1"/>
    <col min="15" max="22" width="9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67</v>
      </c>
      <c r="C2">
        <v>60864</v>
      </c>
      <c r="D2">
        <v>68103.000000000015</v>
      </c>
      <c r="E2">
        <v>74268.999999999985</v>
      </c>
      <c r="F2">
        <v>72680.000000000015</v>
      </c>
      <c r="G2">
        <v>75804</v>
      </c>
      <c r="H2">
        <v>76391.999999999985</v>
      </c>
      <c r="I2">
        <v>88815</v>
      </c>
      <c r="J2">
        <v>101551.99999999999</v>
      </c>
      <c r="K2">
        <v>110888.00000000003</v>
      </c>
      <c r="L2">
        <v>119070.99999999997</v>
      </c>
      <c r="M2">
        <v>129416</v>
      </c>
      <c r="N2">
        <v>128695</v>
      </c>
      <c r="O2">
        <v>134538.00000000003</v>
      </c>
      <c r="P2">
        <v>110035</v>
      </c>
      <c r="Q2">
        <v>119520</v>
      </c>
      <c r="R2">
        <v>113335</v>
      </c>
      <c r="S2">
        <v>113488</v>
      </c>
      <c r="T2">
        <v>114728</v>
      </c>
      <c r="U2">
        <v>112035</v>
      </c>
      <c r="V2">
        <v>114158</v>
      </c>
    </row>
    <row r="3" spans="1:22" x14ac:dyDescent="0.2">
      <c r="A3" t="s">
        <v>26</v>
      </c>
      <c r="B3" t="s">
        <v>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8175</v>
      </c>
      <c r="K3">
        <v>7311</v>
      </c>
      <c r="L3">
        <v>7419</v>
      </c>
      <c r="M3">
        <v>7383</v>
      </c>
      <c r="N3">
        <v>12978</v>
      </c>
      <c r="O3">
        <v>18128.999999999996</v>
      </c>
      <c r="P3">
        <v>49978</v>
      </c>
      <c r="Q3">
        <v>54973</v>
      </c>
      <c r="R3">
        <v>67534</v>
      </c>
      <c r="S3">
        <v>76196</v>
      </c>
      <c r="T3">
        <v>90580</v>
      </c>
      <c r="U3">
        <v>104742</v>
      </c>
      <c r="V3">
        <v>114276</v>
      </c>
    </row>
    <row r="4" spans="1:22" x14ac:dyDescent="0.2">
      <c r="A4" t="s">
        <v>29</v>
      </c>
      <c r="B4" t="s">
        <v>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 t="s">
        <v>68</v>
      </c>
      <c r="B5" t="s">
        <v>67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">
      <c r="A6" t="s">
        <v>21</v>
      </c>
      <c r="B6" t="s">
        <v>67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">
      <c r="A7" t="s">
        <v>69</v>
      </c>
      <c r="B7" t="s">
        <v>67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">
      <c r="A8" t="s">
        <v>70</v>
      </c>
      <c r="B8" t="s">
        <v>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">
      <c r="A9" t="s">
        <v>30</v>
      </c>
      <c r="B9" t="s">
        <v>67</v>
      </c>
      <c r="C9">
        <v>9117.0000000000018</v>
      </c>
      <c r="D9">
        <v>9173</v>
      </c>
      <c r="E9">
        <v>8961</v>
      </c>
      <c r="F9">
        <v>10640</v>
      </c>
      <c r="G9">
        <v>10825.000000000002</v>
      </c>
      <c r="H9">
        <v>12294</v>
      </c>
      <c r="I9">
        <v>16475.000000000004</v>
      </c>
      <c r="J9">
        <v>19192</v>
      </c>
      <c r="K9">
        <v>19307</v>
      </c>
      <c r="L9">
        <v>22280.000000000004</v>
      </c>
      <c r="M9">
        <v>19491.999999999996</v>
      </c>
      <c r="N9">
        <v>19708</v>
      </c>
      <c r="O9">
        <v>18563</v>
      </c>
      <c r="P9">
        <v>17429</v>
      </c>
      <c r="Q9">
        <v>10456</v>
      </c>
      <c r="R9">
        <v>6730</v>
      </c>
      <c r="S9">
        <v>6423</v>
      </c>
      <c r="T9">
        <v>6080</v>
      </c>
      <c r="U9">
        <v>6482</v>
      </c>
      <c r="V9">
        <v>7037</v>
      </c>
    </row>
    <row r="10" spans="1:22" x14ac:dyDescent="0.2">
      <c r="A10" t="s">
        <v>31</v>
      </c>
      <c r="B10" t="s">
        <v>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t="s">
        <v>71</v>
      </c>
      <c r="B11" t="s">
        <v>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">
      <c r="A12" t="s">
        <v>36</v>
      </c>
      <c r="B12" t="s">
        <v>67</v>
      </c>
      <c r="C12">
        <v>6412.0000000000009</v>
      </c>
      <c r="D12">
        <v>5818</v>
      </c>
      <c r="E12">
        <v>6661.9999999999991</v>
      </c>
      <c r="F12">
        <v>6956.9999999999982</v>
      </c>
      <c r="G12">
        <v>10342.999999999996</v>
      </c>
      <c r="H12">
        <v>10884.000000000002</v>
      </c>
      <c r="I12">
        <v>11664</v>
      </c>
      <c r="J12">
        <v>10001</v>
      </c>
      <c r="K12">
        <v>10486.999999999996</v>
      </c>
      <c r="L12">
        <v>10711.999999999998</v>
      </c>
      <c r="M12">
        <v>7997</v>
      </c>
      <c r="N12">
        <v>6511.9999999999991</v>
      </c>
      <c r="O12">
        <v>7119.0000000000009</v>
      </c>
      <c r="P12">
        <v>9957</v>
      </c>
      <c r="Q12">
        <v>9144</v>
      </c>
      <c r="R12">
        <v>6495</v>
      </c>
      <c r="S12">
        <v>7212</v>
      </c>
      <c r="T12">
        <v>6566</v>
      </c>
      <c r="U12">
        <v>5321</v>
      </c>
      <c r="V12">
        <v>6650</v>
      </c>
    </row>
    <row r="13" spans="1:22" x14ac:dyDescent="0.2">
      <c r="A13" t="s">
        <v>72</v>
      </c>
      <c r="B13" t="s">
        <v>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 t="s">
        <v>32</v>
      </c>
      <c r="B14" t="s">
        <v>67</v>
      </c>
      <c r="C14">
        <v>33837.999999999993</v>
      </c>
      <c r="D14">
        <v>33734.000000000007</v>
      </c>
      <c r="E14">
        <v>34120.000000000007</v>
      </c>
      <c r="F14">
        <v>39322</v>
      </c>
      <c r="G14">
        <v>39141</v>
      </c>
      <c r="H14">
        <v>43324</v>
      </c>
      <c r="I14">
        <v>44589</v>
      </c>
      <c r="J14">
        <v>39088</v>
      </c>
      <c r="K14">
        <v>41431</v>
      </c>
      <c r="L14">
        <v>43781</v>
      </c>
      <c r="M14">
        <v>44646.000000000007</v>
      </c>
      <c r="N14">
        <v>48207.999999999993</v>
      </c>
      <c r="O14">
        <v>44173</v>
      </c>
      <c r="P14">
        <v>43963</v>
      </c>
      <c r="Q14">
        <v>43154</v>
      </c>
      <c r="R14">
        <v>34143</v>
      </c>
      <c r="S14">
        <v>37975</v>
      </c>
      <c r="T14">
        <v>38475</v>
      </c>
      <c r="U14">
        <v>43614</v>
      </c>
      <c r="V14">
        <v>47699</v>
      </c>
    </row>
    <row r="15" spans="1:22" x14ac:dyDescent="0.2">
      <c r="A15" t="s">
        <v>39</v>
      </c>
      <c r="B15" t="s">
        <v>67</v>
      </c>
      <c r="C15">
        <v>10725.000000000002</v>
      </c>
      <c r="D15">
        <v>9623</v>
      </c>
      <c r="E15">
        <v>11286.000000000002</v>
      </c>
      <c r="F15">
        <v>11528</v>
      </c>
      <c r="G15">
        <v>11384</v>
      </c>
      <c r="H15">
        <v>17456</v>
      </c>
      <c r="I15">
        <v>12419.000000000002</v>
      </c>
      <c r="J15">
        <v>12799</v>
      </c>
      <c r="K15">
        <v>16922.999999999996</v>
      </c>
      <c r="L15">
        <v>15161</v>
      </c>
      <c r="M15">
        <v>13741</v>
      </c>
      <c r="N15">
        <v>18677</v>
      </c>
      <c r="O15">
        <v>18632</v>
      </c>
      <c r="P15">
        <v>21613</v>
      </c>
      <c r="Q15">
        <v>21125</v>
      </c>
      <c r="R15">
        <v>24289</v>
      </c>
      <c r="S15">
        <v>24578</v>
      </c>
      <c r="T15">
        <v>27161</v>
      </c>
      <c r="U15">
        <v>24590</v>
      </c>
      <c r="V15">
        <v>27138</v>
      </c>
    </row>
    <row r="16" spans="1:22" x14ac:dyDescent="0.2">
      <c r="A16" t="s">
        <v>41</v>
      </c>
      <c r="B16" t="s">
        <v>67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24</v>
      </c>
      <c r="Q16">
        <v>36</v>
      </c>
      <c r="R16">
        <v>36</v>
      </c>
      <c r="S16">
        <v>119</v>
      </c>
      <c r="T16">
        <v>134</v>
      </c>
      <c r="U16">
        <v>0</v>
      </c>
      <c r="V16">
        <v>152</v>
      </c>
    </row>
    <row r="17" spans="1:22" x14ac:dyDescent="0.2">
      <c r="A17" t="s">
        <v>40</v>
      </c>
      <c r="B17" t="s">
        <v>67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">
      <c r="A18" t="s">
        <v>73</v>
      </c>
      <c r="B18" t="s">
        <v>67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">
      <c r="A19" t="s">
        <v>38</v>
      </c>
      <c r="B19" t="s">
        <v>67</v>
      </c>
      <c r="C19">
        <v>6604.0000000000009</v>
      </c>
      <c r="D19">
        <v>6657.9999999999991</v>
      </c>
      <c r="E19">
        <v>7020.9999999999982</v>
      </c>
      <c r="F19">
        <v>8309.0000000000018</v>
      </c>
      <c r="G19">
        <v>9294.9999999999982</v>
      </c>
      <c r="H19">
        <v>9357</v>
      </c>
      <c r="I19">
        <v>9371</v>
      </c>
      <c r="J19">
        <v>9416</v>
      </c>
      <c r="K19">
        <v>9413.9999999999982</v>
      </c>
      <c r="L19">
        <v>10039</v>
      </c>
      <c r="M19">
        <v>10047</v>
      </c>
      <c r="N19">
        <v>10656.000000000002</v>
      </c>
      <c r="O19">
        <v>12764</v>
      </c>
      <c r="P19">
        <v>14019</v>
      </c>
      <c r="Q19">
        <v>14100</v>
      </c>
      <c r="R19">
        <v>15563</v>
      </c>
      <c r="S19">
        <v>15899</v>
      </c>
      <c r="T19">
        <v>16677</v>
      </c>
      <c r="U19">
        <v>16936</v>
      </c>
      <c r="V19">
        <v>16763</v>
      </c>
    </row>
    <row r="20" spans="1:22" x14ac:dyDescent="0.2">
      <c r="A20" t="s">
        <v>42</v>
      </c>
      <c r="B20" t="s">
        <v>67</v>
      </c>
      <c r="C20">
        <v>0</v>
      </c>
      <c r="D20">
        <v>0</v>
      </c>
      <c r="E20">
        <v>0</v>
      </c>
      <c r="F20">
        <v>0</v>
      </c>
      <c r="G20">
        <v>0</v>
      </c>
      <c r="H20">
        <v>0.51700000000000002</v>
      </c>
      <c r="I20">
        <v>0.77300000000000002</v>
      </c>
      <c r="J20">
        <v>3.0119999999999996</v>
      </c>
      <c r="K20">
        <v>5.4970000000000008</v>
      </c>
      <c r="L20">
        <v>6.8140000000000001</v>
      </c>
      <c r="M20">
        <v>5.2770000000000001</v>
      </c>
      <c r="N20">
        <v>21.091999999999995</v>
      </c>
      <c r="O20">
        <v>29.049999999999994</v>
      </c>
      <c r="P20">
        <v>90.27</v>
      </c>
      <c r="Q20">
        <v>118.28</v>
      </c>
      <c r="R20">
        <v>170.97</v>
      </c>
      <c r="S20">
        <v>192.62</v>
      </c>
      <c r="T20">
        <v>443.73</v>
      </c>
      <c r="U20">
        <v>712.87</v>
      </c>
      <c r="V20">
        <v>1350.98</v>
      </c>
    </row>
    <row r="21" spans="1:22" x14ac:dyDescent="0.2">
      <c r="A21" t="s">
        <v>74</v>
      </c>
      <c r="B21" t="s">
        <v>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">
      <c r="A22" t="s">
        <v>75</v>
      </c>
      <c r="B22" t="s">
        <v>67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">
      <c r="A23" t="s">
        <v>44</v>
      </c>
      <c r="B23" t="s">
        <v>67</v>
      </c>
      <c r="C23">
        <v>0</v>
      </c>
      <c r="D23">
        <v>0</v>
      </c>
      <c r="E23">
        <v>2.0000000000000004E-2</v>
      </c>
      <c r="F23">
        <v>0.3</v>
      </c>
      <c r="G23">
        <v>3.7</v>
      </c>
      <c r="H23">
        <v>3.63</v>
      </c>
      <c r="I23">
        <v>4.7000000000000011</v>
      </c>
      <c r="J23">
        <v>4.6000000000000014</v>
      </c>
      <c r="K23">
        <v>0.1</v>
      </c>
      <c r="L23">
        <v>0</v>
      </c>
      <c r="M23">
        <v>3.6999999999999993</v>
      </c>
      <c r="N23">
        <v>5.7</v>
      </c>
      <c r="O23">
        <v>0</v>
      </c>
      <c r="P23">
        <v>190</v>
      </c>
      <c r="Q23">
        <v>484</v>
      </c>
      <c r="R23">
        <v>475</v>
      </c>
      <c r="S23">
        <v>437</v>
      </c>
      <c r="T23">
        <v>356</v>
      </c>
      <c r="U23">
        <v>481</v>
      </c>
      <c r="V23">
        <v>467</v>
      </c>
    </row>
    <row r="24" spans="1:22" x14ac:dyDescent="0.2">
      <c r="A24" t="s">
        <v>18</v>
      </c>
      <c r="B24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15706</v>
      </c>
      <c r="Q24">
        <v>15283</v>
      </c>
      <c r="R24">
        <v>12984</v>
      </c>
      <c r="S24">
        <v>15254</v>
      </c>
      <c r="T24">
        <v>20442</v>
      </c>
      <c r="U24">
        <v>24326</v>
      </c>
      <c r="V24">
        <v>23938.010000000002</v>
      </c>
    </row>
    <row r="25" spans="1:22" x14ac:dyDescent="0.2">
      <c r="A25" t="s">
        <v>16</v>
      </c>
      <c r="B25" t="s">
        <v>67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">
      <c r="A26" t="s">
        <v>76</v>
      </c>
      <c r="B26" t="s">
        <v>67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">
      <c r="A27" t="s">
        <v>77</v>
      </c>
      <c r="B27" t="s">
        <v>67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">
      <c r="A28" t="s">
        <v>78</v>
      </c>
      <c r="B28" t="s">
        <v>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">
      <c r="A29" t="s">
        <v>14</v>
      </c>
      <c r="B29" t="s">
        <v>67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573</v>
      </c>
      <c r="Q29">
        <v>618</v>
      </c>
      <c r="R29">
        <v>799</v>
      </c>
      <c r="S29">
        <v>940</v>
      </c>
      <c r="T29">
        <v>1044</v>
      </c>
      <c r="U29">
        <v>1012</v>
      </c>
      <c r="V29">
        <v>1114</v>
      </c>
    </row>
    <row r="30" spans="1:22" x14ac:dyDescent="0.2">
      <c r="A30" t="s">
        <v>79</v>
      </c>
      <c r="B30" t="s">
        <v>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">
      <c r="A31" t="s">
        <v>80</v>
      </c>
      <c r="B31" t="s">
        <v>67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">
      <c r="A32" t="s">
        <v>34</v>
      </c>
      <c r="B32" t="s">
        <v>67</v>
      </c>
      <c r="C32">
        <v>0</v>
      </c>
      <c r="D32">
        <v>0</v>
      </c>
      <c r="E32">
        <v>121.00000000000001</v>
      </c>
      <c r="F32">
        <v>0</v>
      </c>
      <c r="G32">
        <v>0</v>
      </c>
      <c r="H32">
        <v>74</v>
      </c>
      <c r="I32">
        <v>47.999999999999993</v>
      </c>
      <c r="J32">
        <v>54.999999999999993</v>
      </c>
      <c r="K32">
        <v>382.00000000000006</v>
      </c>
      <c r="L32">
        <v>50.999999999999993</v>
      </c>
      <c r="M32">
        <v>1233</v>
      </c>
      <c r="N32">
        <v>2450.9999999999995</v>
      </c>
      <c r="O32">
        <v>81.999999999999986</v>
      </c>
      <c r="P32">
        <v>198</v>
      </c>
      <c r="Q32">
        <v>6417</v>
      </c>
      <c r="R32">
        <v>9259</v>
      </c>
      <c r="S32">
        <v>10353</v>
      </c>
      <c r="T32">
        <v>10806</v>
      </c>
      <c r="U32">
        <v>10295</v>
      </c>
      <c r="V32">
        <v>10748</v>
      </c>
    </row>
    <row r="33" spans="1:22" x14ac:dyDescent="0.2">
      <c r="A33" t="s">
        <v>43</v>
      </c>
      <c r="B33" t="s">
        <v>67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30.900000000000009</v>
      </c>
      <c r="J33">
        <v>30.900000000000009</v>
      </c>
      <c r="K33">
        <v>40.79999999999999</v>
      </c>
      <c r="L33">
        <v>35.5</v>
      </c>
      <c r="M33">
        <v>19.399999999999999</v>
      </c>
      <c r="N33">
        <v>5.9</v>
      </c>
      <c r="O33">
        <v>590.39999999999986</v>
      </c>
      <c r="P33">
        <v>0</v>
      </c>
      <c r="Q33">
        <v>21</v>
      </c>
      <c r="R33">
        <v>17</v>
      </c>
      <c r="S33">
        <v>11</v>
      </c>
      <c r="T33">
        <v>44</v>
      </c>
      <c r="U33">
        <v>61</v>
      </c>
      <c r="V33">
        <v>60</v>
      </c>
    </row>
    <row r="34" spans="1:22" x14ac:dyDescent="0.2">
      <c r="A34" t="s">
        <v>81</v>
      </c>
      <c r="B34" t="s">
        <v>67</v>
      </c>
      <c r="C34">
        <v>127560</v>
      </c>
      <c r="D34">
        <v>133109.00000000003</v>
      </c>
      <c r="E34">
        <v>142440.01999999999</v>
      </c>
      <c r="F34">
        <v>149436.29999999999</v>
      </c>
      <c r="G34">
        <v>156795.70000000001</v>
      </c>
      <c r="H34">
        <v>169785.147</v>
      </c>
      <c r="I34">
        <v>183417.37299999999</v>
      </c>
      <c r="J34">
        <v>200316.51199999999</v>
      </c>
      <c r="K34">
        <v>216189.39700000003</v>
      </c>
      <c r="L34">
        <v>228556.31399999998</v>
      </c>
      <c r="M34">
        <v>233983.37700000001</v>
      </c>
      <c r="N34">
        <v>247917.69200000001</v>
      </c>
      <c r="O34">
        <v>254619.45</v>
      </c>
      <c r="P34">
        <v>283775.27</v>
      </c>
      <c r="Q34">
        <v>295449.28000000003</v>
      </c>
      <c r="R34">
        <v>291829.96999999997</v>
      </c>
      <c r="S34">
        <v>309077.62</v>
      </c>
      <c r="T34">
        <v>333536.73</v>
      </c>
      <c r="U34">
        <v>350607.87</v>
      </c>
      <c r="V34">
        <v>371550.99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998D-2470-40D6-8B76-B4160A1A09C1}">
  <dimension ref="A1:V34"/>
  <sheetViews>
    <sheetView workbookViewId="0">
      <selection activeCell="V1" sqref="V1"/>
    </sheetView>
  </sheetViews>
  <sheetFormatPr defaultRowHeight="14.25" x14ac:dyDescent="0.2"/>
  <cols>
    <col min="1" max="1" width="26.875" bestFit="1" customWidth="1"/>
    <col min="2" max="2" width="6.5" bestFit="1" customWidth="1"/>
    <col min="3" max="3" width="6.875" bestFit="1" customWidth="1"/>
    <col min="4" max="7" width="7.875" bestFit="1" customWidth="1"/>
    <col min="8" max="8" width="6.875" bestFit="1" customWidth="1"/>
    <col min="9" max="15" width="7.875" bestFit="1" customWidth="1"/>
    <col min="16" max="18" width="6.875" bestFit="1" customWidth="1"/>
    <col min="19" max="19" width="7.875" bestFit="1" customWidth="1"/>
    <col min="20" max="21" width="8.875" bestFit="1" customWidth="1"/>
    <col min="22" max="22" width="7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67</v>
      </c>
      <c r="C2">
        <v>0</v>
      </c>
      <c r="D2">
        <v>0</v>
      </c>
      <c r="E2">
        <v>0</v>
      </c>
      <c r="F2">
        <v>23.359999999999996</v>
      </c>
      <c r="G2">
        <v>28.03</v>
      </c>
      <c r="H2">
        <v>32.08</v>
      </c>
      <c r="I2">
        <v>46.500000000000007</v>
      </c>
      <c r="J2">
        <v>37.42</v>
      </c>
      <c r="K2">
        <v>168.75</v>
      </c>
      <c r="L2">
        <v>863.02</v>
      </c>
      <c r="M2">
        <v>2210.1400000000003</v>
      </c>
      <c r="N2">
        <v>2551.17</v>
      </c>
      <c r="O2">
        <v>3569.01</v>
      </c>
      <c r="P2">
        <v>3362</v>
      </c>
      <c r="Q2">
        <v>4107</v>
      </c>
      <c r="R2">
        <v>4311</v>
      </c>
      <c r="S2">
        <v>3455.6</v>
      </c>
      <c r="T2">
        <v>3664.67</v>
      </c>
      <c r="U2">
        <v>7665.13</v>
      </c>
      <c r="V2">
        <v>9208.8799999999992</v>
      </c>
    </row>
    <row r="3" spans="1:22" x14ac:dyDescent="0.2">
      <c r="A3" t="s">
        <v>26</v>
      </c>
      <c r="B3" t="s">
        <v>67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2" x14ac:dyDescent="0.2">
      <c r="A4" t="s">
        <v>29</v>
      </c>
      <c r="B4" t="s">
        <v>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2" x14ac:dyDescent="0.2">
      <c r="A5" t="s">
        <v>68</v>
      </c>
      <c r="B5" t="s">
        <v>67</v>
      </c>
    </row>
    <row r="6" spans="1:22" x14ac:dyDescent="0.2">
      <c r="A6" t="s">
        <v>21</v>
      </c>
      <c r="B6" t="s">
        <v>67</v>
      </c>
    </row>
    <row r="7" spans="1:22" x14ac:dyDescent="0.2">
      <c r="A7" t="s">
        <v>69</v>
      </c>
      <c r="B7" t="s">
        <v>67</v>
      </c>
    </row>
    <row r="8" spans="1:22" x14ac:dyDescent="0.2">
      <c r="A8" t="s">
        <v>70</v>
      </c>
      <c r="B8" t="s">
        <v>67</v>
      </c>
    </row>
    <row r="9" spans="1:22" x14ac:dyDescent="0.2">
      <c r="A9" t="s">
        <v>30</v>
      </c>
      <c r="B9" t="s">
        <v>67</v>
      </c>
      <c r="C9">
        <v>21</v>
      </c>
      <c r="D9">
        <v>23.999999999999996</v>
      </c>
      <c r="E9">
        <v>36</v>
      </c>
      <c r="F9">
        <v>37.999999999999993</v>
      </c>
      <c r="G9">
        <v>42</v>
      </c>
      <c r="H9">
        <v>41</v>
      </c>
      <c r="I9">
        <v>37.999999999999993</v>
      </c>
      <c r="J9">
        <v>40</v>
      </c>
      <c r="K9">
        <v>27.999999999999996</v>
      </c>
      <c r="L9">
        <v>27.999999999999996</v>
      </c>
      <c r="M9">
        <v>93.999999999999986</v>
      </c>
      <c r="N9">
        <v>16</v>
      </c>
      <c r="O9">
        <v>10</v>
      </c>
      <c r="P9">
        <v>0</v>
      </c>
      <c r="Q9">
        <v>0</v>
      </c>
      <c r="R9">
        <v>0</v>
      </c>
      <c r="S9">
        <v>0</v>
      </c>
      <c r="T9">
        <v>0</v>
      </c>
    </row>
    <row r="10" spans="1:22" x14ac:dyDescent="0.2">
      <c r="A10" t="s">
        <v>31</v>
      </c>
      <c r="B10" t="s">
        <v>67</v>
      </c>
      <c r="C10">
        <v>814.99999999999989</v>
      </c>
      <c r="D10">
        <v>1011.0000000000001</v>
      </c>
      <c r="E10">
        <v>1258</v>
      </c>
      <c r="F10">
        <v>1371.9999999999998</v>
      </c>
      <c r="G10">
        <v>1110.9999999999998</v>
      </c>
      <c r="H10">
        <v>858.00000000000011</v>
      </c>
      <c r="I10">
        <v>870.99999999999989</v>
      </c>
      <c r="J10">
        <v>816</v>
      </c>
      <c r="K10">
        <v>551.00000000000011</v>
      </c>
      <c r="L10">
        <v>299</v>
      </c>
      <c r="M10">
        <v>118.00000000000001</v>
      </c>
      <c r="N10">
        <v>362</v>
      </c>
      <c r="O10">
        <v>381</v>
      </c>
      <c r="P10">
        <v>302</v>
      </c>
      <c r="Q10">
        <v>739</v>
      </c>
      <c r="R10">
        <v>451</v>
      </c>
      <c r="S10">
        <v>553.64</v>
      </c>
      <c r="T10">
        <v>351.14</v>
      </c>
      <c r="U10">
        <v>53.28</v>
      </c>
      <c r="V10">
        <v>532.41999999999996</v>
      </c>
    </row>
    <row r="11" spans="1:22" x14ac:dyDescent="0.2">
      <c r="A11" t="s">
        <v>71</v>
      </c>
      <c r="B11" t="s">
        <v>67</v>
      </c>
    </row>
    <row r="12" spans="1:22" x14ac:dyDescent="0.2">
      <c r="A12" t="s">
        <v>36</v>
      </c>
      <c r="B12" t="s">
        <v>67</v>
      </c>
    </row>
    <row r="13" spans="1:22" x14ac:dyDescent="0.2">
      <c r="A13" t="s">
        <v>72</v>
      </c>
      <c r="B13" t="s">
        <v>67</v>
      </c>
    </row>
    <row r="14" spans="1:22" x14ac:dyDescent="0.2">
      <c r="A14" t="s">
        <v>32</v>
      </c>
      <c r="B14" t="s">
        <v>67</v>
      </c>
    </row>
    <row r="15" spans="1:22" x14ac:dyDescent="0.2">
      <c r="A15" t="s">
        <v>39</v>
      </c>
      <c r="B15" t="s">
        <v>67</v>
      </c>
      <c r="C15">
        <v>43.54</v>
      </c>
      <c r="D15">
        <v>50.61</v>
      </c>
      <c r="E15">
        <v>49.709999999999994</v>
      </c>
      <c r="F15">
        <v>46.279999999999987</v>
      </c>
      <c r="G15">
        <v>47.430000000000007</v>
      </c>
      <c r="H15">
        <v>31.729999999999997</v>
      </c>
      <c r="I15">
        <v>51.52000000000001</v>
      </c>
      <c r="J15">
        <v>517.37000000000012</v>
      </c>
      <c r="K15">
        <v>1015.5399999999998</v>
      </c>
      <c r="L15">
        <v>1851.6000000000004</v>
      </c>
      <c r="M15">
        <v>1988.38</v>
      </c>
      <c r="N15">
        <v>2619.11</v>
      </c>
      <c r="O15">
        <v>2711.14</v>
      </c>
      <c r="P15">
        <v>4832</v>
      </c>
      <c r="Q15">
        <v>4106</v>
      </c>
      <c r="R15">
        <v>3937</v>
      </c>
      <c r="S15">
        <v>5043.9399999999996</v>
      </c>
      <c r="T15">
        <v>5557.55</v>
      </c>
      <c r="U15">
        <v>7333.41</v>
      </c>
      <c r="V15">
        <v>7227.78</v>
      </c>
    </row>
    <row r="16" spans="1:22" x14ac:dyDescent="0.2">
      <c r="A16" t="s">
        <v>41</v>
      </c>
      <c r="B16" t="s">
        <v>67</v>
      </c>
    </row>
    <row r="17" spans="1:22" x14ac:dyDescent="0.2">
      <c r="A17" t="s">
        <v>40</v>
      </c>
      <c r="B17" t="s">
        <v>67</v>
      </c>
    </row>
    <row r="18" spans="1:22" x14ac:dyDescent="0.2">
      <c r="A18" t="s">
        <v>73</v>
      </c>
      <c r="B18" t="s">
        <v>67</v>
      </c>
    </row>
    <row r="19" spans="1:22" x14ac:dyDescent="0.2">
      <c r="A19" t="s">
        <v>38</v>
      </c>
      <c r="B19" t="s">
        <v>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2" x14ac:dyDescent="0.2">
      <c r="A20" t="s">
        <v>42</v>
      </c>
      <c r="B20" t="s">
        <v>67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4.6599999999999993</v>
      </c>
      <c r="P20">
        <v>16</v>
      </c>
      <c r="Q20">
        <v>92</v>
      </c>
      <c r="R20">
        <v>290</v>
      </c>
      <c r="S20">
        <v>609.96</v>
      </c>
      <c r="T20">
        <v>687.87</v>
      </c>
      <c r="U20">
        <v>805.06</v>
      </c>
      <c r="V20">
        <v>1278.96</v>
      </c>
    </row>
    <row r="21" spans="1:22" x14ac:dyDescent="0.2">
      <c r="A21" t="s">
        <v>74</v>
      </c>
      <c r="B21" t="s">
        <v>67</v>
      </c>
    </row>
    <row r="22" spans="1:22" x14ac:dyDescent="0.2">
      <c r="A22" t="s">
        <v>75</v>
      </c>
      <c r="B22" t="s">
        <v>67</v>
      </c>
    </row>
    <row r="23" spans="1:22" x14ac:dyDescent="0.2">
      <c r="A23" t="s">
        <v>44</v>
      </c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2" x14ac:dyDescent="0.2">
      <c r="A24" t="s">
        <v>18</v>
      </c>
      <c r="B24" t="s">
        <v>67</v>
      </c>
      <c r="C24">
        <v>0.12</v>
      </c>
      <c r="D24">
        <v>1.6799999999999997</v>
      </c>
      <c r="E24">
        <v>5.25</v>
      </c>
      <c r="F24">
        <v>4.5299999999999994</v>
      </c>
      <c r="G24">
        <v>6.49</v>
      </c>
      <c r="H24">
        <v>5.8200000000000012</v>
      </c>
      <c r="I24">
        <v>11.91</v>
      </c>
      <c r="J24">
        <v>11.749999999999998</v>
      </c>
      <c r="K24">
        <v>6.6799999999999988</v>
      </c>
      <c r="L24">
        <v>16.789999999999996</v>
      </c>
      <c r="M24">
        <v>38.04</v>
      </c>
      <c r="N24">
        <v>43.35</v>
      </c>
      <c r="O24">
        <v>51.870000000000005</v>
      </c>
      <c r="P24">
        <v>64</v>
      </c>
      <c r="Q24">
        <v>92</v>
      </c>
      <c r="R24">
        <v>66</v>
      </c>
      <c r="S24">
        <v>49.63</v>
      </c>
      <c r="T24">
        <v>51.63</v>
      </c>
      <c r="U24">
        <v>62.93</v>
      </c>
      <c r="V24">
        <v>66.66</v>
      </c>
    </row>
    <row r="25" spans="1:22" x14ac:dyDescent="0.2">
      <c r="A25" t="s">
        <v>16</v>
      </c>
      <c r="B25" t="s">
        <v>67</v>
      </c>
    </row>
    <row r="26" spans="1:22" x14ac:dyDescent="0.2">
      <c r="A26" t="s">
        <v>76</v>
      </c>
      <c r="B26" t="s">
        <v>67</v>
      </c>
    </row>
    <row r="27" spans="1:22" x14ac:dyDescent="0.2">
      <c r="A27" t="s">
        <v>77</v>
      </c>
      <c r="B27" t="s">
        <v>67</v>
      </c>
    </row>
    <row r="28" spans="1:22" x14ac:dyDescent="0.2">
      <c r="A28" t="s">
        <v>78</v>
      </c>
      <c r="B28" t="s">
        <v>67</v>
      </c>
    </row>
    <row r="29" spans="1:22" x14ac:dyDescent="0.2">
      <c r="A29" t="s">
        <v>14</v>
      </c>
      <c r="B29" t="s">
        <v>67</v>
      </c>
    </row>
    <row r="30" spans="1:22" x14ac:dyDescent="0.2">
      <c r="A30" t="s">
        <v>79</v>
      </c>
      <c r="B30" t="s">
        <v>67</v>
      </c>
    </row>
    <row r="31" spans="1:22" x14ac:dyDescent="0.2">
      <c r="A31" t="s">
        <v>80</v>
      </c>
      <c r="B31" t="s">
        <v>67</v>
      </c>
    </row>
    <row r="32" spans="1:22" x14ac:dyDescent="0.2">
      <c r="A32" t="s">
        <v>34</v>
      </c>
      <c r="B32" t="s">
        <v>67</v>
      </c>
    </row>
    <row r="33" spans="1:22" x14ac:dyDescent="0.2">
      <c r="A33" t="s">
        <v>43</v>
      </c>
      <c r="B33" t="s">
        <v>67</v>
      </c>
    </row>
    <row r="34" spans="1:22" x14ac:dyDescent="0.2">
      <c r="A34" t="s">
        <v>81</v>
      </c>
      <c r="B34" t="s">
        <v>67</v>
      </c>
      <c r="C34">
        <v>879.65999999999985</v>
      </c>
      <c r="D34">
        <v>1087.29</v>
      </c>
      <c r="E34">
        <v>1348.96</v>
      </c>
      <c r="F34">
        <v>1484.1699999999996</v>
      </c>
      <c r="G34">
        <v>1234.9499999999998</v>
      </c>
      <c r="H34">
        <v>968.63000000000022</v>
      </c>
      <c r="I34">
        <v>1018.9299999999998</v>
      </c>
      <c r="J34">
        <v>1422.54</v>
      </c>
      <c r="K34">
        <v>1769.97</v>
      </c>
      <c r="L34">
        <v>3058.4100000000003</v>
      </c>
      <c r="M34">
        <v>4448.5600000000004</v>
      </c>
      <c r="N34">
        <v>5591.630000000001</v>
      </c>
      <c r="O34">
        <v>6727.6799999999994</v>
      </c>
      <c r="P34">
        <v>8576</v>
      </c>
      <c r="Q34">
        <v>9136</v>
      </c>
      <c r="R34">
        <v>9055</v>
      </c>
      <c r="S34">
        <v>9712.7699999999986</v>
      </c>
      <c r="T34">
        <v>10312.86</v>
      </c>
      <c r="U34">
        <v>15919.81</v>
      </c>
      <c r="V34">
        <v>18314.699999999997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C27E-E8EA-4899-B00F-F865359694ED}">
  <dimension ref="A1:V34"/>
  <sheetViews>
    <sheetView topLeftCell="C1" workbookViewId="0">
      <selection activeCell="V1" sqref="V1"/>
    </sheetView>
  </sheetViews>
  <sheetFormatPr defaultRowHeight="14.25" x14ac:dyDescent="0.2"/>
  <cols>
    <col min="1" max="1" width="26.875" bestFit="1" customWidth="1"/>
    <col min="2" max="2" width="6.5" bestFit="1" customWidth="1"/>
    <col min="3" max="4" width="7.875" bestFit="1" customWidth="1"/>
    <col min="5" max="5" width="6.875" bestFit="1" customWidth="1"/>
    <col min="6" max="6" width="8.875" bestFit="1" customWidth="1"/>
    <col min="7" max="12" width="6.875" bestFit="1" customWidth="1"/>
    <col min="13" max="13" width="10.875" bestFit="1" customWidth="1"/>
    <col min="14" max="14" width="6.875" bestFit="1" customWidth="1"/>
    <col min="15" max="22" width="11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67</v>
      </c>
    </row>
    <row r="3" spans="1:22" x14ac:dyDescent="0.2">
      <c r="A3" t="s">
        <v>26</v>
      </c>
      <c r="B3" t="s">
        <v>67</v>
      </c>
    </row>
    <row r="4" spans="1:22" x14ac:dyDescent="0.2">
      <c r="A4" t="s">
        <v>29</v>
      </c>
      <c r="B4" t="s">
        <v>67</v>
      </c>
    </row>
    <row r="5" spans="1:22" x14ac:dyDescent="0.2">
      <c r="A5" t="s">
        <v>68</v>
      </c>
      <c r="B5" t="s">
        <v>67</v>
      </c>
    </row>
    <row r="6" spans="1:22" x14ac:dyDescent="0.2">
      <c r="A6" t="s">
        <v>21</v>
      </c>
      <c r="B6" t="s">
        <v>67</v>
      </c>
      <c r="Q6">
        <v>484.08269799999999</v>
      </c>
      <c r="R6">
        <v>914.47981000000004</v>
      </c>
      <c r="S6">
        <v>1241.8820000000001</v>
      </c>
      <c r="T6">
        <v>1207.644</v>
      </c>
      <c r="U6">
        <v>1144.308</v>
      </c>
      <c r="V6">
        <v>1190.0719999999999</v>
      </c>
    </row>
    <row r="7" spans="1:22" x14ac:dyDescent="0.2">
      <c r="A7" t="s">
        <v>69</v>
      </c>
      <c r="B7" t="s">
        <v>67</v>
      </c>
    </row>
    <row r="8" spans="1:22" x14ac:dyDescent="0.2">
      <c r="A8" t="s">
        <v>70</v>
      </c>
      <c r="B8" t="s">
        <v>67</v>
      </c>
    </row>
    <row r="9" spans="1:22" x14ac:dyDescent="0.2">
      <c r="A9" t="s">
        <v>30</v>
      </c>
      <c r="B9" t="s">
        <v>67</v>
      </c>
      <c r="C9">
        <v>28.6</v>
      </c>
      <c r="D9">
        <v>30.6</v>
      </c>
      <c r="E9">
        <v>32.799999999999997</v>
      </c>
      <c r="F9">
        <v>33.299999999999997</v>
      </c>
      <c r="G9">
        <v>36.6</v>
      </c>
      <c r="H9">
        <v>37.9</v>
      </c>
      <c r="I9">
        <v>37.4</v>
      </c>
      <c r="J9">
        <v>37.800000000000004</v>
      </c>
      <c r="K9">
        <v>38.1</v>
      </c>
      <c r="L9">
        <v>39.6</v>
      </c>
      <c r="M9">
        <v>42.4</v>
      </c>
      <c r="N9">
        <v>45.2</v>
      </c>
      <c r="O9">
        <v>45.5</v>
      </c>
      <c r="P9">
        <v>46.875081999999999</v>
      </c>
      <c r="Q9">
        <v>48.870100000000001</v>
      </c>
      <c r="R9">
        <v>39.903940999999996</v>
      </c>
      <c r="S9">
        <v>36.385892000000005</v>
      </c>
      <c r="T9">
        <v>45.76823529</v>
      </c>
      <c r="U9">
        <v>41.724481999999988</v>
      </c>
      <c r="V9">
        <v>42.494313000000005</v>
      </c>
    </row>
    <row r="10" spans="1:22" x14ac:dyDescent="0.2">
      <c r="A10" t="s">
        <v>31</v>
      </c>
      <c r="B10" t="s">
        <v>67</v>
      </c>
    </row>
    <row r="11" spans="1:22" x14ac:dyDescent="0.2">
      <c r="A11" t="s">
        <v>71</v>
      </c>
      <c r="B11" t="s">
        <v>67</v>
      </c>
    </row>
    <row r="12" spans="1:22" x14ac:dyDescent="0.2">
      <c r="A12" t="s">
        <v>36</v>
      </c>
      <c r="B12" t="s">
        <v>67</v>
      </c>
      <c r="C12">
        <v>2491.2600000000002</v>
      </c>
      <c r="D12">
        <v>2592.23</v>
      </c>
      <c r="E12">
        <v>2656.1</v>
      </c>
      <c r="F12">
        <v>2700.989</v>
      </c>
      <c r="G12">
        <v>2739.3</v>
      </c>
      <c r="H12">
        <v>2715.5</v>
      </c>
      <c r="I12">
        <v>2483.5</v>
      </c>
      <c r="J12">
        <v>2582.9</v>
      </c>
      <c r="K12">
        <v>2684.9</v>
      </c>
      <c r="L12">
        <v>2749.8</v>
      </c>
      <c r="M12">
        <v>2845.4</v>
      </c>
      <c r="N12">
        <v>2836.1</v>
      </c>
      <c r="O12">
        <v>2721.9360000000001</v>
      </c>
      <c r="P12">
        <v>2664.3833199999999</v>
      </c>
      <c r="Q12">
        <v>2693.4110000000001</v>
      </c>
      <c r="R12">
        <v>2654.8980000000001</v>
      </c>
      <c r="S12">
        <v>2710.998</v>
      </c>
      <c r="T12">
        <v>2491.5990579999998</v>
      </c>
      <c r="U12">
        <v>2581.808</v>
      </c>
      <c r="V12">
        <v>2798.7739999999999</v>
      </c>
    </row>
    <row r="13" spans="1:22" x14ac:dyDescent="0.2">
      <c r="A13" t="s">
        <v>72</v>
      </c>
      <c r="B13" t="s">
        <v>67</v>
      </c>
    </row>
    <row r="14" spans="1:22" x14ac:dyDescent="0.2">
      <c r="A14" t="s">
        <v>32</v>
      </c>
      <c r="B14" t="s">
        <v>67</v>
      </c>
      <c r="C14">
        <v>618.6</v>
      </c>
      <c r="D14">
        <v>659.4</v>
      </c>
      <c r="E14">
        <v>705.9</v>
      </c>
      <c r="F14">
        <v>693</v>
      </c>
      <c r="G14">
        <v>850.5</v>
      </c>
      <c r="H14">
        <v>1038.8</v>
      </c>
      <c r="I14">
        <v>1202.1000000000001</v>
      </c>
      <c r="J14">
        <v>1307.9000000000001</v>
      </c>
      <c r="K14">
        <v>1238.8</v>
      </c>
      <c r="L14">
        <v>1265.2</v>
      </c>
      <c r="M14">
        <v>1311</v>
      </c>
      <c r="N14">
        <v>1388.6000000000001</v>
      </c>
      <c r="O14">
        <v>1388.3779999999999</v>
      </c>
      <c r="P14">
        <v>1580.7470000000001</v>
      </c>
      <c r="Q14">
        <v>1706.877</v>
      </c>
      <c r="R14">
        <v>1813.8019999999999</v>
      </c>
      <c r="S14">
        <v>1706.0450000000001</v>
      </c>
      <c r="T14">
        <v>1852.1530000000002</v>
      </c>
      <c r="U14">
        <v>1837.731</v>
      </c>
      <c r="V14">
        <v>1776.212</v>
      </c>
    </row>
    <row r="15" spans="1:22" x14ac:dyDescent="0.2">
      <c r="A15" t="s">
        <v>39</v>
      </c>
      <c r="B15" t="s">
        <v>67</v>
      </c>
    </row>
    <row r="16" spans="1:22" x14ac:dyDescent="0.2">
      <c r="A16" t="s">
        <v>41</v>
      </c>
      <c r="B16" t="s">
        <v>67</v>
      </c>
    </row>
    <row r="17" spans="1:22" x14ac:dyDescent="0.2">
      <c r="A17" t="s">
        <v>40</v>
      </c>
      <c r="B17" t="s">
        <v>67</v>
      </c>
    </row>
    <row r="18" spans="1:22" x14ac:dyDescent="0.2">
      <c r="A18" t="s">
        <v>73</v>
      </c>
      <c r="B18" t="s">
        <v>67</v>
      </c>
    </row>
    <row r="19" spans="1:22" x14ac:dyDescent="0.2">
      <c r="A19" t="s">
        <v>38</v>
      </c>
      <c r="B19" t="s">
        <v>67</v>
      </c>
    </row>
    <row r="20" spans="1:22" x14ac:dyDescent="0.2">
      <c r="A20" t="s">
        <v>42</v>
      </c>
      <c r="B20" t="s">
        <v>67</v>
      </c>
      <c r="M20">
        <v>1.2934300000000001</v>
      </c>
      <c r="N20">
        <v>1.1000000000000001</v>
      </c>
      <c r="O20">
        <v>1.5453633</v>
      </c>
      <c r="P20">
        <v>1.5690216999999997</v>
      </c>
      <c r="Q20">
        <v>1.0583202</v>
      </c>
      <c r="R20">
        <v>0.98310219999999993</v>
      </c>
      <c r="S20">
        <v>4.4298973000000004</v>
      </c>
      <c r="T20">
        <v>5.0871642999999995</v>
      </c>
      <c r="U20">
        <v>5.5786028999999999</v>
      </c>
      <c r="V20">
        <v>4.8223758999999999</v>
      </c>
    </row>
    <row r="21" spans="1:22" x14ac:dyDescent="0.2">
      <c r="A21" t="s">
        <v>74</v>
      </c>
      <c r="B21" t="s">
        <v>67</v>
      </c>
    </row>
    <row r="22" spans="1:22" x14ac:dyDescent="0.2">
      <c r="A22" t="s">
        <v>75</v>
      </c>
      <c r="B22" t="s">
        <v>67</v>
      </c>
    </row>
    <row r="23" spans="1:22" x14ac:dyDescent="0.2">
      <c r="A23" t="s">
        <v>44</v>
      </c>
      <c r="B23" t="s">
        <v>67</v>
      </c>
    </row>
    <row r="24" spans="1:22" x14ac:dyDescent="0.2">
      <c r="A24" t="s">
        <v>18</v>
      </c>
      <c r="B24" t="s">
        <v>67</v>
      </c>
    </row>
    <row r="25" spans="1:22" x14ac:dyDescent="0.2">
      <c r="A25" t="s">
        <v>16</v>
      </c>
      <c r="B25" t="s">
        <v>67</v>
      </c>
    </row>
    <row r="26" spans="1:22" x14ac:dyDescent="0.2">
      <c r="A26" t="s">
        <v>76</v>
      </c>
      <c r="B26" t="s">
        <v>67</v>
      </c>
    </row>
    <row r="27" spans="1:22" x14ac:dyDescent="0.2">
      <c r="A27" t="s">
        <v>77</v>
      </c>
      <c r="B27" t="s">
        <v>67</v>
      </c>
    </row>
    <row r="28" spans="1:22" x14ac:dyDescent="0.2">
      <c r="A28" t="s">
        <v>78</v>
      </c>
      <c r="B28" t="s">
        <v>67</v>
      </c>
    </row>
    <row r="29" spans="1:22" x14ac:dyDescent="0.2">
      <c r="A29" t="s">
        <v>14</v>
      </c>
      <c r="B29" t="s">
        <v>67</v>
      </c>
    </row>
    <row r="30" spans="1:22" x14ac:dyDescent="0.2">
      <c r="A30" t="s">
        <v>79</v>
      </c>
      <c r="B30" t="s">
        <v>67</v>
      </c>
    </row>
    <row r="31" spans="1:22" x14ac:dyDescent="0.2">
      <c r="A31" t="s">
        <v>80</v>
      </c>
      <c r="B31" t="s">
        <v>67</v>
      </c>
    </row>
    <row r="32" spans="1:22" x14ac:dyDescent="0.2">
      <c r="A32" t="s">
        <v>34</v>
      </c>
      <c r="B32" t="s">
        <v>67</v>
      </c>
    </row>
    <row r="33" spans="1:22" x14ac:dyDescent="0.2">
      <c r="A33" t="s">
        <v>43</v>
      </c>
      <c r="B33" t="s">
        <v>67</v>
      </c>
    </row>
    <row r="34" spans="1:22" x14ac:dyDescent="0.2">
      <c r="A34" t="s">
        <v>81</v>
      </c>
      <c r="B34" t="s">
        <v>67</v>
      </c>
      <c r="C34">
        <v>3138.46</v>
      </c>
      <c r="D34">
        <v>3282.23</v>
      </c>
      <c r="E34">
        <v>3394.8</v>
      </c>
      <c r="F34">
        <v>3427.2890000000002</v>
      </c>
      <c r="G34">
        <v>3626.4</v>
      </c>
      <c r="H34">
        <v>3792.2</v>
      </c>
      <c r="I34">
        <v>3723</v>
      </c>
      <c r="J34">
        <v>3928.6000000000004</v>
      </c>
      <c r="K34">
        <v>3961.8</v>
      </c>
      <c r="L34">
        <v>4054.6000000000004</v>
      </c>
      <c r="M34">
        <v>4200.0934299999999</v>
      </c>
      <c r="N34">
        <v>4271</v>
      </c>
      <c r="O34">
        <v>4157.3593633</v>
      </c>
      <c r="P34">
        <v>4293.5744236999999</v>
      </c>
      <c r="Q34">
        <v>4934.2991182000005</v>
      </c>
      <c r="R34">
        <v>5424.0668532</v>
      </c>
      <c r="S34">
        <v>5699.7407893000009</v>
      </c>
      <c r="T34">
        <v>5602.2514575899995</v>
      </c>
      <c r="U34">
        <v>5611.1500849000004</v>
      </c>
      <c r="V34">
        <v>5812.3746889000004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FD8A-9CDF-4C5A-AD14-7D32D6E16C35}">
  <dimension ref="A1:AF804"/>
  <sheetViews>
    <sheetView topLeftCell="J1" workbookViewId="0">
      <selection activeCell="L69" sqref="L69"/>
    </sheetView>
  </sheetViews>
  <sheetFormatPr defaultRowHeight="14.25" x14ac:dyDescent="0.2"/>
  <cols>
    <col min="1" max="1" width="11" customWidth="1"/>
    <col min="2" max="2" width="11.75" customWidth="1"/>
    <col min="3" max="3" width="12.5" customWidth="1"/>
    <col min="4" max="4" width="11" customWidth="1"/>
    <col min="5" max="5" width="78.25" bestFit="1" customWidth="1"/>
    <col min="6" max="6" width="9.875" customWidth="1"/>
    <col min="7" max="7" width="15.25" bestFit="1" customWidth="1"/>
    <col min="8" max="8" width="9.125" customWidth="1"/>
    <col min="12" max="12" width="12.75" customWidth="1"/>
    <col min="13" max="13" width="10.5" customWidth="1"/>
    <col min="14" max="20" width="9.25" customWidth="1"/>
    <col min="21" max="21" width="10.75" customWidth="1"/>
  </cols>
  <sheetData>
    <row r="1" spans="1:32" x14ac:dyDescent="0.2">
      <c r="A1" s="3"/>
      <c r="B1" s="3"/>
      <c r="C1" s="3"/>
      <c r="D1" s="3"/>
      <c r="E1" s="4" t="s">
        <v>84</v>
      </c>
      <c r="F1" s="4" t="s">
        <v>85</v>
      </c>
      <c r="G1" s="4" t="s">
        <v>86</v>
      </c>
      <c r="H1" s="4">
        <v>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2">
      <c r="A2" s="3"/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">
      <c r="A3" s="3" t="s">
        <v>87</v>
      </c>
      <c r="B3" s="3" t="s">
        <v>88</v>
      </c>
      <c r="C3" s="3" t="s">
        <v>89</v>
      </c>
      <c r="D3" s="3" t="s">
        <v>90</v>
      </c>
      <c r="E3" s="4" t="s">
        <v>91</v>
      </c>
      <c r="F3" s="4" t="s">
        <v>2</v>
      </c>
      <c r="G3" s="4" t="s">
        <v>92</v>
      </c>
      <c r="H3" s="4" t="s">
        <v>93</v>
      </c>
      <c r="I3" s="4" t="s">
        <v>94</v>
      </c>
      <c r="J3" s="4" t="s">
        <v>95</v>
      </c>
      <c r="K3" s="4" t="s">
        <v>96</v>
      </c>
      <c r="L3" s="4" t="s">
        <v>97</v>
      </c>
      <c r="M3" s="4" t="s">
        <v>47</v>
      </c>
      <c r="N3" s="4" t="s">
        <v>48</v>
      </c>
      <c r="O3" s="4" t="s">
        <v>49</v>
      </c>
      <c r="P3" s="4" t="s">
        <v>50</v>
      </c>
      <c r="Q3" s="4" t="s">
        <v>51</v>
      </c>
      <c r="R3" s="4" t="s">
        <v>52</v>
      </c>
      <c r="S3" s="4" t="s">
        <v>53</v>
      </c>
      <c r="T3" s="4" t="s">
        <v>54</v>
      </c>
      <c r="U3" s="4" t="s">
        <v>55</v>
      </c>
      <c r="V3" s="4" t="s">
        <v>56</v>
      </c>
      <c r="W3" s="4" t="s">
        <v>57</v>
      </c>
      <c r="X3" s="4" t="s">
        <v>58</v>
      </c>
      <c r="Y3" s="4" t="s">
        <v>59</v>
      </c>
      <c r="Z3" s="4" t="s">
        <v>60</v>
      </c>
      <c r="AA3" s="4" t="s">
        <v>61</v>
      </c>
      <c r="AB3" s="4" t="s">
        <v>62</v>
      </c>
      <c r="AC3" s="4" t="s">
        <v>63</v>
      </c>
      <c r="AD3" s="4" t="s">
        <v>64</v>
      </c>
      <c r="AE3" s="4" t="s">
        <v>65</v>
      </c>
      <c r="AF3" s="4" t="s">
        <v>66</v>
      </c>
    </row>
    <row r="4" spans="1:32" hidden="1" x14ac:dyDescent="0.2">
      <c r="A4">
        <v>2720</v>
      </c>
      <c r="B4">
        <v>2148</v>
      </c>
      <c r="C4">
        <v>1</v>
      </c>
      <c r="D4">
        <v>15</v>
      </c>
      <c r="E4" s="5" t="s">
        <v>98</v>
      </c>
      <c r="F4" s="5" t="s">
        <v>3</v>
      </c>
      <c r="G4" s="5" t="s">
        <v>99</v>
      </c>
      <c r="H4" s="5" t="s">
        <v>15</v>
      </c>
      <c r="I4" s="5"/>
      <c r="J4" s="5" t="s">
        <v>100</v>
      </c>
      <c r="K4" s="5"/>
      <c r="L4" s="5" t="s">
        <v>101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hidden="1" x14ac:dyDescent="0.2">
      <c r="A5">
        <v>2720</v>
      </c>
      <c r="B5">
        <v>1593</v>
      </c>
      <c r="C5">
        <v>1</v>
      </c>
      <c r="D5">
        <v>15</v>
      </c>
      <c r="E5" s="5" t="s">
        <v>98</v>
      </c>
      <c r="F5" s="5" t="s">
        <v>102</v>
      </c>
      <c r="G5" s="5" t="s">
        <v>99</v>
      </c>
      <c r="H5" s="5" t="s">
        <v>15</v>
      </c>
      <c r="I5" s="5"/>
      <c r="J5" s="5" t="s">
        <v>103</v>
      </c>
      <c r="K5" s="5"/>
      <c r="L5" s="5" t="s">
        <v>101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 hidden="1" x14ac:dyDescent="0.2">
      <c r="A6">
        <v>2720</v>
      </c>
      <c r="B6">
        <v>2148</v>
      </c>
      <c r="C6">
        <v>1</v>
      </c>
      <c r="D6">
        <v>6</v>
      </c>
      <c r="E6" s="5" t="s">
        <v>98</v>
      </c>
      <c r="F6" s="5" t="s">
        <v>3</v>
      </c>
      <c r="G6" s="5" t="s">
        <v>99</v>
      </c>
      <c r="H6" s="5" t="s">
        <v>17</v>
      </c>
      <c r="I6" s="5"/>
      <c r="J6" s="5" t="s">
        <v>100</v>
      </c>
      <c r="K6" s="5"/>
      <c r="L6" s="5" t="s">
        <v>101</v>
      </c>
      <c r="M6" s="5">
        <v>0</v>
      </c>
      <c r="N6" s="5">
        <v>0</v>
      </c>
      <c r="O6" s="5">
        <v>0</v>
      </c>
      <c r="P6" s="5">
        <v>23.36</v>
      </c>
      <c r="Q6" s="5">
        <v>28.03</v>
      </c>
      <c r="R6" s="5">
        <v>32.08</v>
      </c>
      <c r="S6" s="5">
        <v>46.5</v>
      </c>
      <c r="T6" s="5">
        <v>37.42</v>
      </c>
      <c r="U6" s="5">
        <v>168.75</v>
      </c>
      <c r="V6" s="5">
        <v>863.02</v>
      </c>
      <c r="W6" s="5">
        <v>2210.14</v>
      </c>
      <c r="X6" s="5">
        <v>2551.17</v>
      </c>
      <c r="Y6" s="5">
        <v>3569.01</v>
      </c>
      <c r="Z6" s="5">
        <v>3362</v>
      </c>
      <c r="AA6" s="5">
        <v>4107</v>
      </c>
      <c r="AB6" s="5">
        <v>4311</v>
      </c>
      <c r="AC6" s="5">
        <v>3455.6</v>
      </c>
      <c r="AD6" s="5">
        <v>3664.67</v>
      </c>
      <c r="AE6" s="5">
        <v>7665.1</v>
      </c>
      <c r="AF6" s="5">
        <v>8895.1</v>
      </c>
    </row>
    <row r="7" spans="1:32" hidden="1" x14ac:dyDescent="0.2">
      <c r="A7">
        <v>2720</v>
      </c>
      <c r="B7">
        <v>1593</v>
      </c>
      <c r="C7">
        <v>1</v>
      </c>
      <c r="D7">
        <v>6</v>
      </c>
      <c r="E7" s="5" t="s">
        <v>98</v>
      </c>
      <c r="F7" s="5" t="s">
        <v>102</v>
      </c>
      <c r="G7" s="5" t="s">
        <v>99</v>
      </c>
      <c r="H7" s="5" t="s">
        <v>17</v>
      </c>
      <c r="I7" s="5"/>
      <c r="J7" s="5" t="s">
        <v>103</v>
      </c>
      <c r="K7" s="5"/>
      <c r="L7" s="5" t="s">
        <v>101</v>
      </c>
      <c r="M7" s="5">
        <v>0</v>
      </c>
      <c r="N7" s="5">
        <v>0</v>
      </c>
      <c r="O7" s="5">
        <v>0</v>
      </c>
      <c r="P7" s="5">
        <v>13</v>
      </c>
      <c r="Q7" s="5">
        <v>13</v>
      </c>
      <c r="R7" s="5">
        <v>13</v>
      </c>
      <c r="S7" s="5">
        <v>13</v>
      </c>
      <c r="T7" s="5">
        <v>13</v>
      </c>
      <c r="U7" s="5">
        <v>113</v>
      </c>
      <c r="V7" s="5">
        <v>268</v>
      </c>
      <c r="W7" s="5">
        <v>403</v>
      </c>
      <c r="X7" s="5">
        <v>429.2</v>
      </c>
      <c r="Y7" s="5">
        <v>538</v>
      </c>
      <c r="Z7" s="5">
        <v>551</v>
      </c>
      <c r="AA7" s="5">
        <v>709</v>
      </c>
      <c r="AB7" s="5">
        <v>675</v>
      </c>
      <c r="AC7" s="5">
        <v>675</v>
      </c>
      <c r="AD7" s="5">
        <v>1025</v>
      </c>
      <c r="AE7" s="5">
        <v>1300</v>
      </c>
      <c r="AF7" s="5">
        <v>1300</v>
      </c>
    </row>
    <row r="8" spans="1:32" hidden="1" x14ac:dyDescent="0.2">
      <c r="A8">
        <v>2720</v>
      </c>
      <c r="B8">
        <v>2148</v>
      </c>
      <c r="C8">
        <v>1</v>
      </c>
      <c r="D8">
        <v>1</v>
      </c>
      <c r="E8" s="5" t="s">
        <v>98</v>
      </c>
      <c r="F8" s="5" t="s">
        <v>3</v>
      </c>
      <c r="G8" s="5" t="s">
        <v>99</v>
      </c>
      <c r="H8" s="5" t="s">
        <v>19</v>
      </c>
      <c r="I8" s="5"/>
      <c r="J8" s="5" t="s">
        <v>100</v>
      </c>
      <c r="K8" s="5"/>
      <c r="L8" s="5" t="s">
        <v>101</v>
      </c>
      <c r="M8" s="5">
        <v>60864</v>
      </c>
      <c r="N8" s="5">
        <v>68103</v>
      </c>
      <c r="O8" s="5">
        <v>74269</v>
      </c>
      <c r="P8" s="5">
        <v>72680</v>
      </c>
      <c r="Q8" s="5">
        <v>75804</v>
      </c>
      <c r="R8" s="5">
        <v>76392</v>
      </c>
      <c r="S8" s="5">
        <v>88815</v>
      </c>
      <c r="T8" s="5">
        <v>101552</v>
      </c>
      <c r="U8" s="5">
        <v>110888</v>
      </c>
      <c r="V8" s="5">
        <v>119071</v>
      </c>
      <c r="W8" s="5">
        <v>129416</v>
      </c>
      <c r="X8" s="5">
        <v>128695</v>
      </c>
      <c r="Y8" s="5">
        <v>134538</v>
      </c>
      <c r="Z8" s="5">
        <v>110035</v>
      </c>
      <c r="AA8" s="5">
        <v>119520</v>
      </c>
      <c r="AB8" s="5">
        <v>113335</v>
      </c>
      <c r="AC8" s="5">
        <v>113762</v>
      </c>
      <c r="AD8" s="5">
        <v>114728</v>
      </c>
      <c r="AE8" s="5">
        <v>112035</v>
      </c>
      <c r="AF8" s="5">
        <v>114158</v>
      </c>
    </row>
    <row r="9" spans="1:32" x14ac:dyDescent="0.2">
      <c r="A9">
        <v>2720</v>
      </c>
      <c r="B9">
        <v>1593</v>
      </c>
      <c r="C9">
        <v>1</v>
      </c>
      <c r="D9">
        <v>1</v>
      </c>
      <c r="E9" s="5" t="s">
        <v>98</v>
      </c>
      <c r="F9" s="5" t="s">
        <v>102</v>
      </c>
      <c r="G9" s="5" t="s">
        <v>99</v>
      </c>
      <c r="H9" s="5" t="s">
        <v>19</v>
      </c>
      <c r="I9" s="5"/>
      <c r="J9" s="5" t="s">
        <v>103</v>
      </c>
      <c r="K9" s="5"/>
      <c r="L9" s="5" t="s">
        <v>101</v>
      </c>
      <c r="M9" s="5">
        <v>9750</v>
      </c>
      <c r="N9" s="5">
        <v>11170</v>
      </c>
      <c r="O9" s="5">
        <v>12014</v>
      </c>
      <c r="P9" s="5">
        <v>12294</v>
      </c>
      <c r="Q9" s="5">
        <v>12594</v>
      </c>
      <c r="R9" s="5">
        <v>12981.5</v>
      </c>
      <c r="S9" s="5">
        <v>16359</v>
      </c>
      <c r="T9" s="5">
        <v>16805</v>
      </c>
      <c r="U9" s="5">
        <v>20868.53</v>
      </c>
      <c r="V9" s="5">
        <v>22160.23</v>
      </c>
      <c r="W9" s="5">
        <v>24285.73</v>
      </c>
      <c r="X9" s="5">
        <v>24388.23</v>
      </c>
      <c r="Y9" s="5">
        <v>23396.2</v>
      </c>
      <c r="Z9" s="5">
        <v>28178.17</v>
      </c>
      <c r="AA9" s="5">
        <v>31328.17</v>
      </c>
      <c r="AB9" s="5">
        <v>33258.86</v>
      </c>
      <c r="AC9" s="5">
        <v>33627.360000000001</v>
      </c>
      <c r="AD9" s="5">
        <v>42635.26</v>
      </c>
      <c r="AE9" s="5">
        <v>49756.37</v>
      </c>
      <c r="AF9" s="5">
        <v>54338.84</v>
      </c>
    </row>
    <row r="10" spans="1:32" hidden="1" x14ac:dyDescent="0.2">
      <c r="A10">
        <v>2720</v>
      </c>
      <c r="B10">
        <v>2148</v>
      </c>
      <c r="C10">
        <v>1</v>
      </c>
      <c r="D10">
        <v>13</v>
      </c>
      <c r="E10" s="5" t="s">
        <v>98</v>
      </c>
      <c r="F10" s="5" t="s">
        <v>3</v>
      </c>
      <c r="G10" s="5" t="s">
        <v>99</v>
      </c>
      <c r="H10" s="5" t="s">
        <v>20</v>
      </c>
      <c r="I10" s="5"/>
      <c r="J10" s="5" t="s">
        <v>100</v>
      </c>
      <c r="K10" s="5"/>
      <c r="L10" s="5" t="s">
        <v>101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2246</v>
      </c>
      <c r="X10" s="5">
        <v>7962</v>
      </c>
      <c r="Y10" s="5">
        <v>10927</v>
      </c>
      <c r="Z10" s="5">
        <v>13656</v>
      </c>
      <c r="AA10" s="5">
        <v>12959</v>
      </c>
      <c r="AB10" s="5">
        <v>12901</v>
      </c>
      <c r="AC10" s="5">
        <v>11881</v>
      </c>
      <c r="AD10" s="5">
        <v>12179</v>
      </c>
      <c r="AE10" s="5">
        <v>12179</v>
      </c>
      <c r="AF10" s="5">
        <v>12367</v>
      </c>
    </row>
    <row r="11" spans="1:32" hidden="1" x14ac:dyDescent="0.2">
      <c r="A11">
        <v>2720</v>
      </c>
      <c r="B11">
        <v>1593</v>
      </c>
      <c r="C11">
        <v>1</v>
      </c>
      <c r="D11">
        <v>13</v>
      </c>
      <c r="E11" s="5" t="s">
        <v>98</v>
      </c>
      <c r="F11" s="5" t="s">
        <v>102</v>
      </c>
      <c r="G11" s="5" t="s">
        <v>99</v>
      </c>
      <c r="H11" s="5" t="s">
        <v>20</v>
      </c>
      <c r="I11" s="5"/>
      <c r="J11" s="5" t="s">
        <v>103</v>
      </c>
      <c r="K11" s="5"/>
      <c r="L11" s="5" t="s">
        <v>101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1878</v>
      </c>
      <c r="X11" s="5">
        <v>1878</v>
      </c>
      <c r="Y11" s="5">
        <v>1878</v>
      </c>
      <c r="Z11" s="5">
        <v>1878</v>
      </c>
      <c r="AA11" s="5">
        <v>1878</v>
      </c>
      <c r="AB11" s="5">
        <v>1878</v>
      </c>
      <c r="AC11" s="5">
        <v>1878</v>
      </c>
      <c r="AD11" s="5">
        <v>1878</v>
      </c>
      <c r="AE11" s="5">
        <v>1878</v>
      </c>
      <c r="AF11" s="5">
        <v>1878</v>
      </c>
    </row>
    <row r="12" spans="1:32" hidden="1" x14ac:dyDescent="0.2">
      <c r="A12">
        <v>2720</v>
      </c>
      <c r="B12">
        <v>2148</v>
      </c>
      <c r="C12">
        <v>1</v>
      </c>
      <c r="D12">
        <v>17</v>
      </c>
      <c r="E12" s="5" t="s">
        <v>98</v>
      </c>
      <c r="F12" s="5" t="s">
        <v>3</v>
      </c>
      <c r="G12" s="5" t="s">
        <v>99</v>
      </c>
      <c r="H12" s="5" t="s">
        <v>22</v>
      </c>
      <c r="I12" s="5"/>
      <c r="J12" s="5" t="s">
        <v>100</v>
      </c>
      <c r="K12" s="5"/>
      <c r="L12" s="5" t="s">
        <v>101</v>
      </c>
      <c r="M12" s="5">
        <v>24228</v>
      </c>
      <c r="N12" s="5">
        <v>26527</v>
      </c>
      <c r="O12" s="5">
        <v>32932</v>
      </c>
      <c r="P12" s="5">
        <v>36585</v>
      </c>
      <c r="Q12" s="5">
        <v>44329</v>
      </c>
      <c r="R12" s="5">
        <v>47595</v>
      </c>
      <c r="S12" s="5">
        <v>48932</v>
      </c>
      <c r="T12" s="5">
        <v>52584</v>
      </c>
      <c r="U12" s="5">
        <v>50747</v>
      </c>
      <c r="V12" s="5">
        <v>50536</v>
      </c>
      <c r="W12" s="5">
        <v>52004</v>
      </c>
      <c r="X12" s="5">
        <v>51853</v>
      </c>
      <c r="Y12" s="5">
        <v>51643</v>
      </c>
      <c r="Z12" s="5">
        <v>61828.800000000003</v>
      </c>
      <c r="AA12" s="5">
        <v>61128.800000000003</v>
      </c>
      <c r="AB12" s="5">
        <v>71100.289999999994</v>
      </c>
      <c r="AC12" s="5">
        <v>67867.33</v>
      </c>
      <c r="AD12" s="5">
        <v>65777.600000000006</v>
      </c>
      <c r="AE12" s="5">
        <v>68496</v>
      </c>
      <c r="AF12" s="5">
        <v>71604</v>
      </c>
    </row>
    <row r="13" spans="1:32" hidden="1" x14ac:dyDescent="0.2">
      <c r="A13">
        <v>2720</v>
      </c>
      <c r="B13">
        <v>1593</v>
      </c>
      <c r="C13">
        <v>1</v>
      </c>
      <c r="D13">
        <v>17</v>
      </c>
      <c r="E13" s="5" t="s">
        <v>98</v>
      </c>
      <c r="F13" s="5" t="s">
        <v>102</v>
      </c>
      <c r="G13" s="5" t="s">
        <v>99</v>
      </c>
      <c r="H13" s="5" t="s">
        <v>22</v>
      </c>
      <c r="I13" s="5"/>
      <c r="J13" s="5" t="s">
        <v>103</v>
      </c>
      <c r="K13" s="5"/>
      <c r="L13" s="5" t="s">
        <v>101</v>
      </c>
      <c r="M13" s="5">
        <v>3900</v>
      </c>
      <c r="N13" s="5">
        <v>4610</v>
      </c>
      <c r="O13" s="5">
        <v>6010</v>
      </c>
      <c r="P13" s="5">
        <v>6145</v>
      </c>
      <c r="Q13" s="5">
        <v>6755</v>
      </c>
      <c r="R13" s="5">
        <v>7650</v>
      </c>
      <c r="S13" s="5">
        <v>7680</v>
      </c>
      <c r="T13" s="5">
        <v>7680</v>
      </c>
      <c r="U13" s="5">
        <v>7680</v>
      </c>
      <c r="V13" s="5">
        <v>7680</v>
      </c>
      <c r="W13" s="5">
        <v>7536</v>
      </c>
      <c r="X13" s="5">
        <v>8536</v>
      </c>
      <c r="Y13" s="5">
        <v>8536</v>
      </c>
      <c r="Z13" s="5">
        <v>8628.27</v>
      </c>
      <c r="AA13" s="5">
        <v>10397.629999999999</v>
      </c>
      <c r="AB13" s="5">
        <v>10752.15</v>
      </c>
      <c r="AC13" s="5">
        <v>10563.56</v>
      </c>
      <c r="AD13" s="5">
        <v>10658.29</v>
      </c>
      <c r="AE13" s="5">
        <v>10756.8</v>
      </c>
      <c r="AF13" s="5">
        <v>10756.8</v>
      </c>
    </row>
    <row r="14" spans="1:32" hidden="1" x14ac:dyDescent="0.2">
      <c r="A14">
        <v>2720</v>
      </c>
      <c r="B14">
        <v>2148</v>
      </c>
      <c r="C14">
        <v>1</v>
      </c>
      <c r="D14">
        <v>12</v>
      </c>
      <c r="E14" s="5" t="s">
        <v>98</v>
      </c>
      <c r="F14" s="5" t="s">
        <v>3</v>
      </c>
      <c r="G14" s="5" t="s">
        <v>99</v>
      </c>
      <c r="H14" s="5" t="s">
        <v>23</v>
      </c>
      <c r="I14" s="5"/>
      <c r="J14" s="5" t="s">
        <v>100</v>
      </c>
      <c r="K14" s="5"/>
      <c r="L14" s="5" t="s">
        <v>101</v>
      </c>
      <c r="M14" s="5">
        <v>232.66</v>
      </c>
      <c r="N14" s="5">
        <v>382.21</v>
      </c>
      <c r="O14" s="5">
        <v>401.82</v>
      </c>
      <c r="P14" s="5">
        <v>198.39</v>
      </c>
      <c r="Q14" s="5">
        <v>228.95</v>
      </c>
      <c r="R14" s="5">
        <v>365.91</v>
      </c>
      <c r="S14" s="5">
        <v>292.13</v>
      </c>
      <c r="T14" s="5">
        <v>241.71</v>
      </c>
      <c r="U14" s="5">
        <v>125.6</v>
      </c>
      <c r="V14" s="5">
        <v>66.099999999999994</v>
      </c>
      <c r="W14" s="5">
        <v>0</v>
      </c>
      <c r="X14" s="5">
        <v>9.3000000000000007</v>
      </c>
      <c r="Y14" s="5">
        <v>438.67</v>
      </c>
      <c r="Z14" s="5">
        <v>561.69000000000005</v>
      </c>
      <c r="AA14" s="5">
        <v>692.96</v>
      </c>
      <c r="AB14" s="5">
        <v>554.12</v>
      </c>
      <c r="AC14" s="5">
        <v>356.13</v>
      </c>
      <c r="AD14" s="5">
        <v>705.34</v>
      </c>
      <c r="AE14" s="5">
        <v>759.46</v>
      </c>
      <c r="AF14" s="5">
        <v>632.79</v>
      </c>
    </row>
    <row r="15" spans="1:32" hidden="1" x14ac:dyDescent="0.2">
      <c r="A15">
        <v>2720</v>
      </c>
      <c r="B15">
        <v>1593</v>
      </c>
      <c r="C15">
        <v>1</v>
      </c>
      <c r="D15">
        <v>12</v>
      </c>
      <c r="E15" s="5" t="s">
        <v>98</v>
      </c>
      <c r="F15" s="5" t="s">
        <v>102</v>
      </c>
      <c r="G15" s="5" t="s">
        <v>99</v>
      </c>
      <c r="H15" s="5" t="s">
        <v>23</v>
      </c>
      <c r="I15" s="5"/>
      <c r="J15" s="5" t="s">
        <v>103</v>
      </c>
      <c r="K15" s="5"/>
      <c r="L15" s="5" t="s">
        <v>101</v>
      </c>
      <c r="M15" s="5">
        <v>120</v>
      </c>
      <c r="N15" s="5">
        <v>120</v>
      </c>
      <c r="O15" s="5">
        <v>120</v>
      </c>
      <c r="P15" s="5">
        <v>120</v>
      </c>
      <c r="Q15" s="5">
        <v>120</v>
      </c>
      <c r="R15" s="5">
        <v>120</v>
      </c>
      <c r="S15" s="5">
        <v>120</v>
      </c>
      <c r="T15" s="5">
        <v>120</v>
      </c>
      <c r="U15" s="5">
        <v>120</v>
      </c>
      <c r="V15" s="5">
        <v>120</v>
      </c>
      <c r="W15" s="5">
        <v>120</v>
      </c>
      <c r="X15" s="5">
        <v>120</v>
      </c>
      <c r="Y15" s="5">
        <v>120</v>
      </c>
      <c r="Z15" s="5">
        <v>120</v>
      </c>
      <c r="AA15" s="5">
        <v>120</v>
      </c>
      <c r="AB15" s="5">
        <v>120</v>
      </c>
      <c r="AC15" s="5">
        <v>120</v>
      </c>
      <c r="AD15" s="5">
        <v>138</v>
      </c>
      <c r="AE15" s="5">
        <v>190</v>
      </c>
      <c r="AF15" s="5">
        <v>190</v>
      </c>
    </row>
    <row r="16" spans="1:32" hidden="1" x14ac:dyDescent="0.2">
      <c r="A16">
        <v>2720</v>
      </c>
      <c r="B16">
        <v>2148</v>
      </c>
      <c r="C16">
        <v>1</v>
      </c>
      <c r="D16">
        <v>19</v>
      </c>
      <c r="E16" s="5" t="s">
        <v>98</v>
      </c>
      <c r="F16" s="5" t="s">
        <v>3</v>
      </c>
      <c r="G16" s="5" t="s">
        <v>99</v>
      </c>
      <c r="H16" s="5" t="s">
        <v>25</v>
      </c>
      <c r="I16" s="5"/>
      <c r="J16" s="5" t="s">
        <v>100</v>
      </c>
      <c r="K16" s="5"/>
      <c r="L16" s="5" t="s">
        <v>101</v>
      </c>
      <c r="M16" s="5">
        <v>15257.2</v>
      </c>
      <c r="N16" s="5">
        <v>15294.1</v>
      </c>
      <c r="O16" s="5">
        <v>16837.099999999999</v>
      </c>
      <c r="P16" s="5">
        <v>15748.8</v>
      </c>
      <c r="Q16" s="5">
        <v>16476.099999999999</v>
      </c>
      <c r="R16" s="5">
        <v>23301.1</v>
      </c>
      <c r="S16" s="5">
        <v>25342.2</v>
      </c>
      <c r="T16" s="5">
        <v>28264.9</v>
      </c>
      <c r="U16" s="5">
        <v>32081</v>
      </c>
      <c r="V16" s="5">
        <v>33053.5</v>
      </c>
      <c r="W16" s="5">
        <v>36685.699999999997</v>
      </c>
      <c r="X16" s="5">
        <v>43303.199999999997</v>
      </c>
      <c r="Y16" s="5">
        <v>46847.3</v>
      </c>
      <c r="Z16" s="5">
        <v>51932.19</v>
      </c>
      <c r="AA16" s="5">
        <v>57890.43</v>
      </c>
      <c r="AB16" s="5">
        <v>58176</v>
      </c>
      <c r="AC16" s="5">
        <v>62052.25</v>
      </c>
      <c r="AD16" s="5">
        <v>66429.539999999994</v>
      </c>
      <c r="AE16" s="5">
        <v>73753.850000000006</v>
      </c>
      <c r="AF16" s="5">
        <v>79359.33</v>
      </c>
    </row>
    <row r="17" spans="1:32" hidden="1" x14ac:dyDescent="0.2">
      <c r="A17">
        <v>2720</v>
      </c>
      <c r="B17">
        <v>1593</v>
      </c>
      <c r="C17">
        <v>1</v>
      </c>
      <c r="D17">
        <v>19</v>
      </c>
      <c r="E17" s="5" t="s">
        <v>98</v>
      </c>
      <c r="F17" s="5" t="s">
        <v>102</v>
      </c>
      <c r="G17" s="5" t="s">
        <v>99</v>
      </c>
      <c r="H17" s="5" t="s">
        <v>25</v>
      </c>
      <c r="I17" s="5"/>
      <c r="J17" s="5" t="s">
        <v>103</v>
      </c>
      <c r="K17" s="5"/>
      <c r="L17" s="5" t="s">
        <v>101</v>
      </c>
      <c r="M17" s="5">
        <v>3967.1</v>
      </c>
      <c r="N17" s="5">
        <v>4177.1000000000004</v>
      </c>
      <c r="O17" s="5">
        <v>4213.1000000000004</v>
      </c>
      <c r="P17" s="5">
        <v>4213.1000000000004</v>
      </c>
      <c r="Q17" s="5">
        <v>4276.6000000000004</v>
      </c>
      <c r="R17" s="5">
        <v>4866.6000000000004</v>
      </c>
      <c r="S17" s="5">
        <v>4916.6000000000004</v>
      </c>
      <c r="T17" s="5">
        <v>5568.2</v>
      </c>
      <c r="U17" s="5">
        <v>5568.2</v>
      </c>
      <c r="V17" s="5">
        <v>5708.2</v>
      </c>
      <c r="W17" s="5">
        <v>5962.95</v>
      </c>
      <c r="X17" s="5">
        <v>7418.65</v>
      </c>
      <c r="Y17" s="5">
        <v>8048.95</v>
      </c>
      <c r="Z17" s="5">
        <v>8843.65</v>
      </c>
      <c r="AA17" s="5">
        <v>10417.15</v>
      </c>
      <c r="AB17" s="5">
        <v>10943.9</v>
      </c>
      <c r="AC17" s="5">
        <v>11683.9</v>
      </c>
      <c r="AD17" s="5">
        <v>12443</v>
      </c>
      <c r="AE17" s="5">
        <v>12406</v>
      </c>
      <c r="AF17" s="5">
        <v>13006</v>
      </c>
    </row>
    <row r="18" spans="1:32" hidden="1" x14ac:dyDescent="0.2">
      <c r="A18">
        <v>2720</v>
      </c>
      <c r="B18">
        <v>2148</v>
      </c>
      <c r="C18">
        <v>1</v>
      </c>
      <c r="D18">
        <v>16</v>
      </c>
      <c r="E18" s="5" t="s">
        <v>98</v>
      </c>
      <c r="F18" s="5" t="s">
        <v>3</v>
      </c>
      <c r="G18" s="5" t="s">
        <v>99</v>
      </c>
      <c r="H18" s="5" t="s">
        <v>27</v>
      </c>
      <c r="I18" s="5"/>
      <c r="J18" s="5" t="s">
        <v>100</v>
      </c>
      <c r="K18" s="5"/>
      <c r="L18" s="5" t="s">
        <v>101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</row>
    <row r="19" spans="1:32" hidden="1" x14ac:dyDescent="0.2">
      <c r="A19">
        <v>2720</v>
      </c>
      <c r="B19">
        <v>1593</v>
      </c>
      <c r="C19">
        <v>1</v>
      </c>
      <c r="D19">
        <v>16</v>
      </c>
      <c r="E19" s="5" t="s">
        <v>98</v>
      </c>
      <c r="F19" s="5" t="s">
        <v>102</v>
      </c>
      <c r="G19" s="5" t="s">
        <v>99</v>
      </c>
      <c r="H19" s="5" t="s">
        <v>27</v>
      </c>
      <c r="I19" s="5"/>
      <c r="J19" s="5" t="s">
        <v>103</v>
      </c>
      <c r="K19" s="5"/>
      <c r="L19" s="5" t="s">
        <v>101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</row>
    <row r="20" spans="1:32" hidden="1" x14ac:dyDescent="0.2">
      <c r="A20">
        <v>2720</v>
      </c>
      <c r="B20">
        <v>2148</v>
      </c>
      <c r="C20">
        <v>1</v>
      </c>
      <c r="D20">
        <v>11</v>
      </c>
      <c r="E20" s="5" t="s">
        <v>98</v>
      </c>
      <c r="F20" s="5" t="s">
        <v>3</v>
      </c>
      <c r="G20" s="5" t="s">
        <v>99</v>
      </c>
      <c r="H20" s="5" t="s">
        <v>28</v>
      </c>
      <c r="I20" s="5"/>
      <c r="J20" s="5" t="s">
        <v>100</v>
      </c>
      <c r="K20" s="5"/>
      <c r="L20" s="5" t="s">
        <v>101</v>
      </c>
      <c r="M20" s="5">
        <v>32034</v>
      </c>
      <c r="N20" s="5">
        <v>35051</v>
      </c>
      <c r="O20" s="5">
        <v>36615.800000000003</v>
      </c>
      <c r="P20" s="5">
        <v>37480.6</v>
      </c>
      <c r="Q20" s="5">
        <v>37825</v>
      </c>
      <c r="R20" s="5">
        <v>38854.199999999997</v>
      </c>
      <c r="S20" s="5">
        <v>40047.800000000003</v>
      </c>
      <c r="T20" s="5">
        <v>40081</v>
      </c>
      <c r="U20" s="5">
        <v>36374</v>
      </c>
      <c r="V20" s="5">
        <v>35753</v>
      </c>
      <c r="W20" s="5">
        <v>34582.1</v>
      </c>
      <c r="X20" s="5">
        <v>37038</v>
      </c>
      <c r="Y20" s="5">
        <v>35782.1</v>
      </c>
      <c r="Z20" s="5">
        <v>35796.42</v>
      </c>
      <c r="AA20" s="5">
        <v>35825.22</v>
      </c>
      <c r="AB20" s="5">
        <v>45902.29</v>
      </c>
      <c r="AC20" s="5">
        <v>45531.519999999997</v>
      </c>
      <c r="AD20" s="5">
        <v>45519.51</v>
      </c>
      <c r="AE20" s="5">
        <v>45519.51</v>
      </c>
      <c r="AF20" s="5">
        <v>45519.51</v>
      </c>
    </row>
    <row r="21" spans="1:32" hidden="1" x14ac:dyDescent="0.2">
      <c r="A21">
        <v>2720</v>
      </c>
      <c r="B21">
        <v>1593</v>
      </c>
      <c r="C21">
        <v>1</v>
      </c>
      <c r="D21">
        <v>11</v>
      </c>
      <c r="E21" s="5" t="s">
        <v>98</v>
      </c>
      <c r="F21" s="5" t="s">
        <v>102</v>
      </c>
      <c r="G21" s="5" t="s">
        <v>99</v>
      </c>
      <c r="H21" s="5" t="s">
        <v>28</v>
      </c>
      <c r="I21" s="5"/>
      <c r="J21" s="5" t="s">
        <v>103</v>
      </c>
      <c r="K21" s="5"/>
      <c r="L21" s="5" t="s">
        <v>101</v>
      </c>
      <c r="M21" s="5">
        <v>3347.28</v>
      </c>
      <c r="N21" s="5">
        <v>3666.17</v>
      </c>
      <c r="O21" s="5">
        <v>5332</v>
      </c>
      <c r="P21" s="5">
        <v>5332</v>
      </c>
      <c r="Q21" s="5">
        <v>5423.05</v>
      </c>
      <c r="R21" s="5">
        <v>5502.04</v>
      </c>
      <c r="S21" s="5">
        <v>5502.04</v>
      </c>
      <c r="T21" s="5">
        <v>5502.04</v>
      </c>
      <c r="U21" s="5">
        <v>5702.04</v>
      </c>
      <c r="V21" s="5">
        <v>5702.04</v>
      </c>
      <c r="W21" s="5">
        <v>5702.04</v>
      </c>
      <c r="X21" s="5">
        <v>5705</v>
      </c>
      <c r="Y21" s="5">
        <v>5705</v>
      </c>
      <c r="Z21" s="5">
        <v>6074</v>
      </c>
      <c r="AA21" s="5">
        <v>6114</v>
      </c>
      <c r="AB21" s="5">
        <v>6077</v>
      </c>
      <c r="AC21" s="5">
        <v>6067.5</v>
      </c>
      <c r="AD21" s="5">
        <v>6067.5</v>
      </c>
      <c r="AE21" s="5">
        <v>6067.5</v>
      </c>
      <c r="AF21" s="5">
        <v>6067.5</v>
      </c>
    </row>
    <row r="22" spans="1:32" hidden="1" x14ac:dyDescent="0.2">
      <c r="A22">
        <v>2720</v>
      </c>
      <c r="B22">
        <v>2148</v>
      </c>
      <c r="C22">
        <v>1</v>
      </c>
      <c r="D22">
        <v>14</v>
      </c>
      <c r="E22" s="5" t="s">
        <v>98</v>
      </c>
      <c r="F22" s="5" t="s">
        <v>3</v>
      </c>
      <c r="G22" s="5" t="s">
        <v>99</v>
      </c>
      <c r="H22" s="5" t="s">
        <v>1</v>
      </c>
      <c r="I22" s="5"/>
      <c r="J22" s="5" t="s">
        <v>100</v>
      </c>
      <c r="K22" s="5"/>
      <c r="L22" s="5" t="s">
        <v>101</v>
      </c>
      <c r="M22" s="5">
        <v>7213</v>
      </c>
      <c r="N22" s="5">
        <v>13149</v>
      </c>
      <c r="O22" s="5">
        <v>14200</v>
      </c>
      <c r="P22" s="5">
        <v>14738</v>
      </c>
      <c r="Q22" s="5">
        <v>12836</v>
      </c>
      <c r="R22" s="5">
        <v>21299</v>
      </c>
      <c r="S22" s="5">
        <v>23926</v>
      </c>
      <c r="T22" s="5">
        <v>27312</v>
      </c>
      <c r="U22" s="5">
        <v>34117</v>
      </c>
      <c r="V22" s="5">
        <v>37645</v>
      </c>
      <c r="W22" s="5">
        <v>56480</v>
      </c>
      <c r="X22" s="5">
        <v>68211</v>
      </c>
      <c r="Y22" s="5">
        <v>67552</v>
      </c>
      <c r="Z22" s="5">
        <v>91654</v>
      </c>
      <c r="AA22" s="5">
        <v>120157</v>
      </c>
      <c r="AB22" s="5">
        <v>123177</v>
      </c>
      <c r="AC22" s="5">
        <v>118999</v>
      </c>
      <c r="AD22" s="5">
        <v>104541</v>
      </c>
      <c r="AE22" s="5">
        <v>130191</v>
      </c>
      <c r="AF22" s="5">
        <v>156782</v>
      </c>
    </row>
    <row r="23" spans="1:32" hidden="1" x14ac:dyDescent="0.2">
      <c r="A23">
        <v>2720</v>
      </c>
      <c r="B23">
        <v>1593</v>
      </c>
      <c r="C23">
        <v>1</v>
      </c>
      <c r="D23">
        <v>14</v>
      </c>
      <c r="E23" s="5" t="s">
        <v>98</v>
      </c>
      <c r="F23" s="5" t="s">
        <v>102</v>
      </c>
      <c r="G23" s="5" t="s">
        <v>99</v>
      </c>
      <c r="H23" s="5" t="s">
        <v>1</v>
      </c>
      <c r="I23" s="5"/>
      <c r="J23" s="5" t="s">
        <v>103</v>
      </c>
      <c r="K23" s="5"/>
      <c r="L23" s="5" t="s">
        <v>101</v>
      </c>
      <c r="M23" s="5">
        <v>1245</v>
      </c>
      <c r="N23" s="5">
        <v>1695</v>
      </c>
      <c r="O23" s="5">
        <v>2386.25</v>
      </c>
      <c r="P23" s="5">
        <v>3077.5</v>
      </c>
      <c r="Q23" s="5">
        <v>3768.75</v>
      </c>
      <c r="R23" s="5">
        <v>4460</v>
      </c>
      <c r="S23" s="5">
        <v>4460</v>
      </c>
      <c r="T23" s="5">
        <v>4900</v>
      </c>
      <c r="U23" s="5">
        <v>7053</v>
      </c>
      <c r="V23" s="5">
        <v>9759</v>
      </c>
      <c r="W23" s="5">
        <v>12540</v>
      </c>
      <c r="X23" s="5">
        <v>13790</v>
      </c>
      <c r="Y23" s="5">
        <v>15590</v>
      </c>
      <c r="Z23" s="5">
        <v>18945</v>
      </c>
      <c r="AA23" s="5">
        <v>20250.28</v>
      </c>
      <c r="AB23" s="5">
        <v>21554</v>
      </c>
      <c r="AC23" s="5">
        <v>25397</v>
      </c>
      <c r="AD23" s="5">
        <v>26087</v>
      </c>
      <c r="AE23" s="5">
        <v>27532</v>
      </c>
      <c r="AF23" s="5">
        <v>28229</v>
      </c>
    </row>
    <row r="24" spans="1:32" hidden="1" x14ac:dyDescent="0.2">
      <c r="A24">
        <v>3012</v>
      </c>
      <c r="B24">
        <v>2148</v>
      </c>
      <c r="C24">
        <v>1</v>
      </c>
      <c r="D24">
        <v>15</v>
      </c>
      <c r="E24" s="5" t="s">
        <v>104</v>
      </c>
      <c r="F24" s="5" t="s">
        <v>3</v>
      </c>
      <c r="G24" s="5" t="s">
        <v>99</v>
      </c>
      <c r="H24" s="5" t="s">
        <v>15</v>
      </c>
      <c r="I24" s="5"/>
      <c r="J24" s="5" t="s">
        <v>100</v>
      </c>
      <c r="K24" s="5"/>
      <c r="L24" s="5" t="s">
        <v>101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</row>
    <row r="25" spans="1:32" hidden="1" x14ac:dyDescent="0.2">
      <c r="A25">
        <v>3012</v>
      </c>
      <c r="B25">
        <v>1593</v>
      </c>
      <c r="C25">
        <v>1</v>
      </c>
      <c r="D25">
        <v>15</v>
      </c>
      <c r="E25" s="5" t="s">
        <v>104</v>
      </c>
      <c r="F25" s="5" t="s">
        <v>102</v>
      </c>
      <c r="G25" s="5" t="s">
        <v>99</v>
      </c>
      <c r="H25" s="5" t="s">
        <v>15</v>
      </c>
      <c r="I25" s="5"/>
      <c r="J25" s="5" t="s">
        <v>103</v>
      </c>
      <c r="K25" s="5"/>
      <c r="L25" s="5" t="s">
        <v>101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</row>
    <row r="26" spans="1:32" hidden="1" x14ac:dyDescent="0.2">
      <c r="A26">
        <v>3012</v>
      </c>
      <c r="B26">
        <v>2148</v>
      </c>
      <c r="C26">
        <v>1</v>
      </c>
      <c r="D26">
        <v>6</v>
      </c>
      <c r="E26" s="5" t="s">
        <v>104</v>
      </c>
      <c r="F26" s="5" t="s">
        <v>3</v>
      </c>
      <c r="G26" s="5" t="s">
        <v>99</v>
      </c>
      <c r="H26" s="5" t="s">
        <v>17</v>
      </c>
      <c r="I26" s="5"/>
      <c r="J26" s="5" t="s">
        <v>100</v>
      </c>
      <c r="K26" s="5"/>
      <c r="L26" s="5" t="s">
        <v>101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</row>
    <row r="27" spans="1:32" hidden="1" x14ac:dyDescent="0.2">
      <c r="A27">
        <v>3012</v>
      </c>
      <c r="B27">
        <v>1593</v>
      </c>
      <c r="C27">
        <v>1</v>
      </c>
      <c r="D27">
        <v>6</v>
      </c>
      <c r="E27" s="5" t="s">
        <v>104</v>
      </c>
      <c r="F27" s="5" t="s">
        <v>102</v>
      </c>
      <c r="G27" s="5" t="s">
        <v>99</v>
      </c>
      <c r="H27" s="5" t="s">
        <v>17</v>
      </c>
      <c r="I27" s="5"/>
      <c r="J27" s="5" t="s">
        <v>103</v>
      </c>
      <c r="K27" s="5"/>
      <c r="L27" s="5" t="s">
        <v>101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</row>
    <row r="28" spans="1:32" hidden="1" x14ac:dyDescent="0.2">
      <c r="A28">
        <v>3012</v>
      </c>
      <c r="B28">
        <v>2148</v>
      </c>
      <c r="C28">
        <v>1</v>
      </c>
      <c r="D28">
        <v>1</v>
      </c>
      <c r="E28" s="5" t="s">
        <v>104</v>
      </c>
      <c r="F28" s="5" t="s">
        <v>3</v>
      </c>
      <c r="G28" s="5" t="s">
        <v>99</v>
      </c>
      <c r="H28" s="5" t="s">
        <v>19</v>
      </c>
      <c r="I28" s="5"/>
      <c r="J28" s="5" t="s">
        <v>100</v>
      </c>
      <c r="K28" s="5"/>
      <c r="L28" s="5" t="s">
        <v>101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8175</v>
      </c>
      <c r="U28" s="5">
        <v>7311</v>
      </c>
      <c r="V28" s="5">
        <v>7419</v>
      </c>
      <c r="W28" s="5">
        <v>7383</v>
      </c>
      <c r="X28" s="5">
        <v>12978</v>
      </c>
      <c r="Y28" s="5">
        <v>18129</v>
      </c>
      <c r="Z28" s="5">
        <v>49978</v>
      </c>
      <c r="AA28" s="5">
        <v>54973</v>
      </c>
      <c r="AB28" s="5">
        <v>67534</v>
      </c>
      <c r="AC28" s="5">
        <v>76196</v>
      </c>
      <c r="AD28" s="5">
        <v>90580</v>
      </c>
      <c r="AE28" s="5">
        <v>104742</v>
      </c>
      <c r="AF28" s="5">
        <v>114276</v>
      </c>
    </row>
    <row r="29" spans="1:32" x14ac:dyDescent="0.2">
      <c r="A29">
        <v>3012</v>
      </c>
      <c r="B29">
        <v>1593</v>
      </c>
      <c r="C29">
        <v>1</v>
      </c>
      <c r="D29">
        <v>1</v>
      </c>
      <c r="E29" s="5" t="s">
        <v>104</v>
      </c>
      <c r="F29" s="5" t="s">
        <v>102</v>
      </c>
      <c r="G29" s="5" t="s">
        <v>99</v>
      </c>
      <c r="H29" s="5" t="s">
        <v>19</v>
      </c>
      <c r="I29" s="5"/>
      <c r="J29" s="5" t="s">
        <v>103</v>
      </c>
      <c r="K29" s="5"/>
      <c r="L29" s="5" t="s">
        <v>101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1475</v>
      </c>
      <c r="U29" s="5">
        <v>1475</v>
      </c>
      <c r="V29" s="5">
        <v>1475</v>
      </c>
      <c r="W29" s="5">
        <v>1475</v>
      </c>
      <c r="X29" s="5">
        <v>2749</v>
      </c>
      <c r="Y29" s="5">
        <v>3409</v>
      </c>
      <c r="Z29" s="5">
        <v>3409</v>
      </c>
      <c r="AA29" s="5">
        <v>3409</v>
      </c>
      <c r="AB29" s="5">
        <v>3409</v>
      </c>
      <c r="AC29" s="5">
        <v>3409</v>
      </c>
      <c r="AD29" s="5">
        <v>3409</v>
      </c>
      <c r="AE29" s="5">
        <v>3942</v>
      </c>
      <c r="AF29" s="5">
        <v>4301</v>
      </c>
    </row>
    <row r="30" spans="1:32" hidden="1" x14ac:dyDescent="0.2">
      <c r="A30">
        <v>3012</v>
      </c>
      <c r="B30">
        <v>2148</v>
      </c>
      <c r="C30">
        <v>1</v>
      </c>
      <c r="D30">
        <v>13</v>
      </c>
      <c r="E30" s="5" t="s">
        <v>104</v>
      </c>
      <c r="F30" s="5" t="s">
        <v>3</v>
      </c>
      <c r="G30" s="5" t="s">
        <v>99</v>
      </c>
      <c r="H30" s="5" t="s">
        <v>20</v>
      </c>
      <c r="I30" s="5"/>
      <c r="J30" s="5" t="s">
        <v>100</v>
      </c>
      <c r="K30" s="5"/>
      <c r="L30" s="5" t="s">
        <v>101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</row>
    <row r="31" spans="1:32" hidden="1" x14ac:dyDescent="0.2">
      <c r="A31">
        <v>3012</v>
      </c>
      <c r="B31">
        <v>1593</v>
      </c>
      <c r="C31">
        <v>1</v>
      </c>
      <c r="D31">
        <v>13</v>
      </c>
      <c r="E31" s="5" t="s">
        <v>104</v>
      </c>
      <c r="F31" s="5" t="s">
        <v>102</v>
      </c>
      <c r="G31" s="5" t="s">
        <v>99</v>
      </c>
      <c r="H31" s="5" t="s">
        <v>20</v>
      </c>
      <c r="I31" s="5"/>
      <c r="J31" s="5" t="s">
        <v>103</v>
      </c>
      <c r="K31" s="5"/>
      <c r="L31" s="5" t="s">
        <v>101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</row>
    <row r="32" spans="1:32" hidden="1" x14ac:dyDescent="0.2">
      <c r="A32">
        <v>3012</v>
      </c>
      <c r="B32">
        <v>2148</v>
      </c>
      <c r="C32">
        <v>1</v>
      </c>
      <c r="D32">
        <v>17</v>
      </c>
      <c r="E32" s="5" t="s">
        <v>104</v>
      </c>
      <c r="F32" s="5" t="s">
        <v>3</v>
      </c>
      <c r="G32" s="5" t="s">
        <v>99</v>
      </c>
      <c r="H32" s="5" t="s">
        <v>22</v>
      </c>
      <c r="I32" s="5"/>
      <c r="J32" s="5" t="s">
        <v>100</v>
      </c>
      <c r="K32" s="5"/>
      <c r="L32" s="5" t="s">
        <v>101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</row>
    <row r="33" spans="1:32" hidden="1" x14ac:dyDescent="0.2">
      <c r="A33">
        <v>3012</v>
      </c>
      <c r="B33">
        <v>1593</v>
      </c>
      <c r="C33">
        <v>1</v>
      </c>
      <c r="D33">
        <v>17</v>
      </c>
      <c r="E33" s="5" t="s">
        <v>104</v>
      </c>
      <c r="F33" s="5" t="s">
        <v>102</v>
      </c>
      <c r="G33" s="5" t="s">
        <v>99</v>
      </c>
      <c r="H33" s="5" t="s">
        <v>22</v>
      </c>
      <c r="I33" s="5"/>
      <c r="J33" s="5" t="s">
        <v>103</v>
      </c>
      <c r="K33" s="5"/>
      <c r="L33" s="5" t="s">
        <v>101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</row>
    <row r="34" spans="1:32" hidden="1" x14ac:dyDescent="0.2">
      <c r="A34">
        <v>3012</v>
      </c>
      <c r="B34">
        <v>2148</v>
      </c>
      <c r="C34">
        <v>1</v>
      </c>
      <c r="D34">
        <v>12</v>
      </c>
      <c r="E34" s="5" t="s">
        <v>104</v>
      </c>
      <c r="F34" s="5" t="s">
        <v>3</v>
      </c>
      <c r="G34" s="5" t="s">
        <v>99</v>
      </c>
      <c r="H34" s="5" t="s">
        <v>23</v>
      </c>
      <c r="I34" s="5"/>
      <c r="J34" s="5" t="s">
        <v>100</v>
      </c>
      <c r="K34" s="5"/>
      <c r="L34" s="5" t="s">
        <v>101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</row>
    <row r="35" spans="1:32" hidden="1" x14ac:dyDescent="0.2">
      <c r="A35">
        <v>3012</v>
      </c>
      <c r="B35">
        <v>1593</v>
      </c>
      <c r="C35">
        <v>1</v>
      </c>
      <c r="D35">
        <v>12</v>
      </c>
      <c r="E35" s="5" t="s">
        <v>104</v>
      </c>
      <c r="F35" s="5" t="s">
        <v>102</v>
      </c>
      <c r="G35" s="5" t="s">
        <v>99</v>
      </c>
      <c r="H35" s="5" t="s">
        <v>23</v>
      </c>
      <c r="I35" s="5"/>
      <c r="J35" s="5" t="s">
        <v>103</v>
      </c>
      <c r="K35" s="5"/>
      <c r="L35" s="5" t="s">
        <v>101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</row>
    <row r="36" spans="1:32" hidden="1" x14ac:dyDescent="0.2">
      <c r="A36">
        <v>3012</v>
      </c>
      <c r="B36">
        <v>2148</v>
      </c>
      <c r="C36">
        <v>1</v>
      </c>
      <c r="D36">
        <v>19</v>
      </c>
      <c r="E36" s="5" t="s">
        <v>104</v>
      </c>
      <c r="F36" s="5" t="s">
        <v>3</v>
      </c>
      <c r="G36" s="5" t="s">
        <v>99</v>
      </c>
      <c r="H36" s="5" t="s">
        <v>25</v>
      </c>
      <c r="I36" s="5"/>
      <c r="J36" s="5" t="s">
        <v>100</v>
      </c>
      <c r="K36" s="5"/>
      <c r="L36" s="5" t="s">
        <v>101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</row>
    <row r="37" spans="1:32" hidden="1" x14ac:dyDescent="0.2">
      <c r="A37">
        <v>3012</v>
      </c>
      <c r="B37">
        <v>1593</v>
      </c>
      <c r="C37">
        <v>1</v>
      </c>
      <c r="D37">
        <v>19</v>
      </c>
      <c r="E37" s="5" t="s">
        <v>104</v>
      </c>
      <c r="F37" s="5" t="s">
        <v>102</v>
      </c>
      <c r="G37" s="5" t="s">
        <v>99</v>
      </c>
      <c r="H37" s="5" t="s">
        <v>25</v>
      </c>
      <c r="I37" s="5"/>
      <c r="J37" s="5" t="s">
        <v>103</v>
      </c>
      <c r="K37" s="5"/>
      <c r="L37" s="5" t="s">
        <v>101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</row>
    <row r="38" spans="1:32" hidden="1" x14ac:dyDescent="0.2">
      <c r="A38">
        <v>3012</v>
      </c>
      <c r="B38">
        <v>2148</v>
      </c>
      <c r="C38">
        <v>1</v>
      </c>
      <c r="D38">
        <v>16</v>
      </c>
      <c r="E38" s="5" t="s">
        <v>104</v>
      </c>
      <c r="F38" s="5" t="s">
        <v>3</v>
      </c>
      <c r="G38" s="5" t="s">
        <v>99</v>
      </c>
      <c r="H38" s="5" t="s">
        <v>27</v>
      </c>
      <c r="I38" s="5"/>
      <c r="J38" s="5" t="s">
        <v>100</v>
      </c>
      <c r="K38" s="5"/>
      <c r="L38" s="5" t="s">
        <v>101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</row>
    <row r="39" spans="1:32" hidden="1" x14ac:dyDescent="0.2">
      <c r="A39">
        <v>3012</v>
      </c>
      <c r="B39">
        <v>1593</v>
      </c>
      <c r="C39">
        <v>1</v>
      </c>
      <c r="D39">
        <v>16</v>
      </c>
      <c r="E39" s="5" t="s">
        <v>104</v>
      </c>
      <c r="F39" s="5" t="s">
        <v>102</v>
      </c>
      <c r="G39" s="5" t="s">
        <v>99</v>
      </c>
      <c r="H39" s="5" t="s">
        <v>27</v>
      </c>
      <c r="I39" s="5"/>
      <c r="J39" s="5" t="s">
        <v>103</v>
      </c>
      <c r="K39" s="5"/>
      <c r="L39" s="5" t="s">
        <v>101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</row>
    <row r="40" spans="1:32" hidden="1" x14ac:dyDescent="0.2">
      <c r="A40">
        <v>3012</v>
      </c>
      <c r="B40">
        <v>2148</v>
      </c>
      <c r="C40">
        <v>1</v>
      </c>
      <c r="D40">
        <v>11</v>
      </c>
      <c r="E40" s="5" t="s">
        <v>104</v>
      </c>
      <c r="F40" s="5" t="s">
        <v>3</v>
      </c>
      <c r="G40" s="5" t="s">
        <v>99</v>
      </c>
      <c r="H40" s="5" t="s">
        <v>28</v>
      </c>
      <c r="I40" s="5"/>
      <c r="J40" s="5" t="s">
        <v>100</v>
      </c>
      <c r="K40" s="5"/>
      <c r="L40" s="5" t="s">
        <v>101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</row>
    <row r="41" spans="1:32" hidden="1" x14ac:dyDescent="0.2">
      <c r="A41">
        <v>3012</v>
      </c>
      <c r="B41">
        <v>1593</v>
      </c>
      <c r="C41">
        <v>1</v>
      </c>
      <c r="D41">
        <v>11</v>
      </c>
      <c r="E41" s="5" t="s">
        <v>104</v>
      </c>
      <c r="F41" s="5" t="s">
        <v>102</v>
      </c>
      <c r="G41" s="5" t="s">
        <v>99</v>
      </c>
      <c r="H41" s="5" t="s">
        <v>28</v>
      </c>
      <c r="I41" s="5"/>
      <c r="J41" s="5" t="s">
        <v>103</v>
      </c>
      <c r="K41" s="5"/>
      <c r="L41" s="5" t="s">
        <v>101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</row>
    <row r="42" spans="1:32" hidden="1" x14ac:dyDescent="0.2">
      <c r="A42">
        <v>3012</v>
      </c>
      <c r="B42">
        <v>2148</v>
      </c>
      <c r="C42">
        <v>1</v>
      </c>
      <c r="D42">
        <v>14</v>
      </c>
      <c r="E42" s="5" t="s">
        <v>104</v>
      </c>
      <c r="F42" s="5" t="s">
        <v>3</v>
      </c>
      <c r="G42" s="5" t="s">
        <v>99</v>
      </c>
      <c r="H42" s="5" t="s">
        <v>1</v>
      </c>
      <c r="I42" s="5"/>
      <c r="J42" s="5" t="s">
        <v>100</v>
      </c>
      <c r="K42" s="5"/>
      <c r="L42" s="5" t="s">
        <v>101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</row>
    <row r="43" spans="1:32" hidden="1" x14ac:dyDescent="0.2">
      <c r="A43">
        <v>3012</v>
      </c>
      <c r="B43">
        <v>1593</v>
      </c>
      <c r="C43">
        <v>1</v>
      </c>
      <c r="D43">
        <v>14</v>
      </c>
      <c r="E43" s="5" t="s">
        <v>104</v>
      </c>
      <c r="F43" s="5" t="s">
        <v>102</v>
      </c>
      <c r="G43" s="5" t="s">
        <v>99</v>
      </c>
      <c r="H43" s="5" t="s">
        <v>1</v>
      </c>
      <c r="I43" s="5"/>
      <c r="J43" s="5" t="s">
        <v>103</v>
      </c>
      <c r="K43" s="5"/>
      <c r="L43" s="5" t="s">
        <v>101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</row>
    <row r="44" spans="1:32" hidden="1" x14ac:dyDescent="0.2">
      <c r="A44">
        <v>3067</v>
      </c>
      <c r="B44">
        <v>2148</v>
      </c>
      <c r="C44">
        <v>1</v>
      </c>
      <c r="D44">
        <v>15</v>
      </c>
      <c r="E44" s="5" t="s">
        <v>105</v>
      </c>
      <c r="F44" s="5" t="s">
        <v>3</v>
      </c>
      <c r="G44" s="5" t="s">
        <v>99</v>
      </c>
      <c r="H44" s="5" t="s">
        <v>15</v>
      </c>
      <c r="I44" s="5"/>
      <c r="J44" s="5" t="s">
        <v>100</v>
      </c>
      <c r="K44" s="5"/>
      <c r="L44" s="5" t="s">
        <v>101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</row>
    <row r="45" spans="1:32" hidden="1" x14ac:dyDescent="0.2">
      <c r="A45">
        <v>3067</v>
      </c>
      <c r="B45">
        <v>1593</v>
      </c>
      <c r="C45">
        <v>1</v>
      </c>
      <c r="D45">
        <v>15</v>
      </c>
      <c r="E45" s="5" t="s">
        <v>105</v>
      </c>
      <c r="F45" s="5" t="s">
        <v>102</v>
      </c>
      <c r="G45" s="5" t="s">
        <v>99</v>
      </c>
      <c r="H45" s="5" t="s">
        <v>15</v>
      </c>
      <c r="I45" s="5"/>
      <c r="J45" s="5" t="s">
        <v>103</v>
      </c>
      <c r="K45" s="5"/>
      <c r="L45" s="5" t="s">
        <v>101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</row>
    <row r="46" spans="1:32" hidden="1" x14ac:dyDescent="0.2">
      <c r="A46">
        <v>3067</v>
      </c>
      <c r="B46">
        <v>2148</v>
      </c>
      <c r="C46">
        <v>1</v>
      </c>
      <c r="D46">
        <v>6</v>
      </c>
      <c r="E46" s="5" t="s">
        <v>105</v>
      </c>
      <c r="F46" s="5" t="s">
        <v>3</v>
      </c>
      <c r="G46" s="5" t="s">
        <v>99</v>
      </c>
      <c r="H46" s="5" t="s">
        <v>17</v>
      </c>
      <c r="I46" s="5"/>
      <c r="J46" s="5" t="s">
        <v>100</v>
      </c>
      <c r="K46" s="5"/>
      <c r="L46" s="5" t="s">
        <v>101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</row>
    <row r="47" spans="1:32" hidden="1" x14ac:dyDescent="0.2">
      <c r="A47">
        <v>3067</v>
      </c>
      <c r="B47">
        <v>1593</v>
      </c>
      <c r="C47">
        <v>1</v>
      </c>
      <c r="D47">
        <v>6</v>
      </c>
      <c r="E47" s="5" t="s">
        <v>105</v>
      </c>
      <c r="F47" s="5" t="s">
        <v>102</v>
      </c>
      <c r="G47" s="5" t="s">
        <v>99</v>
      </c>
      <c r="H47" s="5" t="s">
        <v>17</v>
      </c>
      <c r="I47" s="5"/>
      <c r="J47" s="5" t="s">
        <v>103</v>
      </c>
      <c r="K47" s="5"/>
      <c r="L47" s="5" t="s">
        <v>101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</row>
    <row r="48" spans="1:32" hidden="1" x14ac:dyDescent="0.2">
      <c r="A48">
        <v>3067</v>
      </c>
      <c r="B48">
        <v>2148</v>
      </c>
      <c r="C48">
        <v>1</v>
      </c>
      <c r="D48">
        <v>1</v>
      </c>
      <c r="E48" s="5" t="s">
        <v>105</v>
      </c>
      <c r="F48" s="5" t="s">
        <v>3</v>
      </c>
      <c r="G48" s="5" t="s">
        <v>99</v>
      </c>
      <c r="H48" s="5" t="s">
        <v>19</v>
      </c>
      <c r="I48" s="5"/>
      <c r="J48" s="5" t="s">
        <v>100</v>
      </c>
      <c r="K48" s="5"/>
      <c r="L48" s="5" t="s">
        <v>101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</row>
    <row r="49" spans="1:32" x14ac:dyDescent="0.2">
      <c r="A49">
        <v>3067</v>
      </c>
      <c r="B49">
        <v>1593</v>
      </c>
      <c r="C49">
        <v>1</v>
      </c>
      <c r="D49">
        <v>1</v>
      </c>
      <c r="E49" s="5" t="s">
        <v>105</v>
      </c>
      <c r="F49" s="5" t="s">
        <v>102</v>
      </c>
      <c r="G49" s="5" t="s">
        <v>99</v>
      </c>
      <c r="H49" s="5" t="s">
        <v>19</v>
      </c>
      <c r="I49" s="5"/>
      <c r="J49" s="5" t="s">
        <v>103</v>
      </c>
      <c r="K49" s="5"/>
      <c r="L49" s="5" t="s">
        <v>101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</row>
    <row r="50" spans="1:32" hidden="1" x14ac:dyDescent="0.2">
      <c r="A50">
        <v>3067</v>
      </c>
      <c r="B50">
        <v>2148</v>
      </c>
      <c r="C50">
        <v>1</v>
      </c>
      <c r="D50">
        <v>13</v>
      </c>
      <c r="E50" s="5" t="s">
        <v>105</v>
      </c>
      <c r="F50" s="5" t="s">
        <v>3</v>
      </c>
      <c r="G50" s="5" t="s">
        <v>99</v>
      </c>
      <c r="H50" s="5" t="s">
        <v>20</v>
      </c>
      <c r="I50" s="5"/>
      <c r="J50" s="5" t="s">
        <v>100</v>
      </c>
      <c r="K50" s="5"/>
      <c r="L50" s="5" t="s">
        <v>101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</row>
    <row r="51" spans="1:32" hidden="1" x14ac:dyDescent="0.2">
      <c r="A51">
        <v>3067</v>
      </c>
      <c r="B51">
        <v>1593</v>
      </c>
      <c r="C51">
        <v>1</v>
      </c>
      <c r="D51">
        <v>13</v>
      </c>
      <c r="E51" s="5" t="s">
        <v>105</v>
      </c>
      <c r="F51" s="5" t="s">
        <v>102</v>
      </c>
      <c r="G51" s="5" t="s">
        <v>99</v>
      </c>
      <c r="H51" s="5" t="s">
        <v>20</v>
      </c>
      <c r="I51" s="5"/>
      <c r="J51" s="5" t="s">
        <v>103</v>
      </c>
      <c r="K51" s="5"/>
      <c r="L51" s="5" t="s">
        <v>101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</row>
    <row r="52" spans="1:32" hidden="1" x14ac:dyDescent="0.2">
      <c r="A52">
        <v>3067</v>
      </c>
      <c r="B52">
        <v>2148</v>
      </c>
      <c r="C52">
        <v>1</v>
      </c>
      <c r="D52">
        <v>17</v>
      </c>
      <c r="E52" s="5" t="s">
        <v>105</v>
      </c>
      <c r="F52" s="5" t="s">
        <v>3</v>
      </c>
      <c r="G52" s="5" t="s">
        <v>99</v>
      </c>
      <c r="H52" s="5" t="s">
        <v>22</v>
      </c>
      <c r="I52" s="5"/>
      <c r="J52" s="5" t="s">
        <v>100</v>
      </c>
      <c r="K52" s="5"/>
      <c r="L52" s="5" t="s">
        <v>101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4655</v>
      </c>
      <c r="X52" s="5">
        <v>11304</v>
      </c>
      <c r="Y52" s="5">
        <v>14050</v>
      </c>
      <c r="Z52" s="5">
        <v>15457.2</v>
      </c>
      <c r="AA52" s="5">
        <v>15282.2</v>
      </c>
      <c r="AB52" s="5">
        <v>17775.07</v>
      </c>
      <c r="AC52" s="5">
        <v>16966.830000000002</v>
      </c>
      <c r="AD52" s="5">
        <v>16444.400000000001</v>
      </c>
      <c r="AE52" s="5">
        <v>17124</v>
      </c>
      <c r="AF52" s="5">
        <v>17901</v>
      </c>
    </row>
    <row r="53" spans="1:32" hidden="1" x14ac:dyDescent="0.2">
      <c r="A53">
        <v>3067</v>
      </c>
      <c r="B53">
        <v>1593</v>
      </c>
      <c r="C53">
        <v>1</v>
      </c>
      <c r="D53">
        <v>17</v>
      </c>
      <c r="E53" s="5" t="s">
        <v>105</v>
      </c>
      <c r="F53" s="5" t="s">
        <v>102</v>
      </c>
      <c r="G53" s="5" t="s">
        <v>99</v>
      </c>
      <c r="H53" s="5" t="s">
        <v>22</v>
      </c>
      <c r="I53" s="5"/>
      <c r="J53" s="5" t="s">
        <v>103</v>
      </c>
      <c r="K53" s="5"/>
      <c r="L53" s="5" t="s">
        <v>101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1010</v>
      </c>
      <c r="X53" s="5">
        <v>1010</v>
      </c>
      <c r="Y53" s="5">
        <v>2010</v>
      </c>
      <c r="Z53" s="5">
        <v>2031.73</v>
      </c>
      <c r="AA53" s="5">
        <v>2448.37</v>
      </c>
      <c r="AB53" s="5">
        <v>2531.85</v>
      </c>
      <c r="AC53" s="5">
        <v>2487.44</v>
      </c>
      <c r="AD53" s="5">
        <v>2509.7399999999998</v>
      </c>
      <c r="AE53" s="5">
        <v>3366.8</v>
      </c>
      <c r="AF53" s="5">
        <v>3395.3</v>
      </c>
    </row>
    <row r="54" spans="1:32" hidden="1" x14ac:dyDescent="0.2">
      <c r="A54">
        <v>3067</v>
      </c>
      <c r="B54">
        <v>2148</v>
      </c>
      <c r="C54">
        <v>1</v>
      </c>
      <c r="D54">
        <v>12</v>
      </c>
      <c r="E54" s="5" t="s">
        <v>105</v>
      </c>
      <c r="F54" s="5" t="s">
        <v>3</v>
      </c>
      <c r="G54" s="5" t="s">
        <v>99</v>
      </c>
      <c r="H54" s="5" t="s">
        <v>23</v>
      </c>
      <c r="I54" s="5"/>
      <c r="J54" s="5" t="s">
        <v>100</v>
      </c>
      <c r="K54" s="5"/>
      <c r="L54" s="5" t="s">
        <v>101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</row>
    <row r="55" spans="1:32" hidden="1" x14ac:dyDescent="0.2">
      <c r="A55">
        <v>3067</v>
      </c>
      <c r="B55">
        <v>1593</v>
      </c>
      <c r="C55">
        <v>1</v>
      </c>
      <c r="D55">
        <v>12</v>
      </c>
      <c r="E55" s="5" t="s">
        <v>105</v>
      </c>
      <c r="F55" s="5" t="s">
        <v>102</v>
      </c>
      <c r="G55" s="5" t="s">
        <v>99</v>
      </c>
      <c r="H55" s="5" t="s">
        <v>23</v>
      </c>
      <c r="I55" s="5"/>
      <c r="J55" s="5" t="s">
        <v>103</v>
      </c>
      <c r="K55" s="5"/>
      <c r="L55" s="5" t="s">
        <v>101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</row>
    <row r="56" spans="1:32" hidden="1" x14ac:dyDescent="0.2">
      <c r="A56">
        <v>3067</v>
      </c>
      <c r="B56">
        <v>2148</v>
      </c>
      <c r="C56">
        <v>1</v>
      </c>
      <c r="D56">
        <v>19</v>
      </c>
      <c r="E56" s="5" t="s">
        <v>105</v>
      </c>
      <c r="F56" s="5" t="s">
        <v>3</v>
      </c>
      <c r="G56" s="5" t="s">
        <v>99</v>
      </c>
      <c r="H56" s="5" t="s">
        <v>25</v>
      </c>
      <c r="I56" s="5"/>
      <c r="J56" s="5" t="s">
        <v>100</v>
      </c>
      <c r="K56" s="5"/>
      <c r="L56" s="5" t="s">
        <v>101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</row>
    <row r="57" spans="1:32" hidden="1" x14ac:dyDescent="0.2">
      <c r="A57">
        <v>3067</v>
      </c>
      <c r="B57">
        <v>1593</v>
      </c>
      <c r="C57">
        <v>1</v>
      </c>
      <c r="D57">
        <v>19</v>
      </c>
      <c r="E57" s="5" t="s">
        <v>105</v>
      </c>
      <c r="F57" s="5" t="s">
        <v>102</v>
      </c>
      <c r="G57" s="5" t="s">
        <v>99</v>
      </c>
      <c r="H57" s="5" t="s">
        <v>25</v>
      </c>
      <c r="I57" s="5"/>
      <c r="J57" s="5" t="s">
        <v>103</v>
      </c>
      <c r="K57" s="5"/>
      <c r="L57" s="5" t="s">
        <v>101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</row>
    <row r="58" spans="1:32" hidden="1" x14ac:dyDescent="0.2">
      <c r="A58">
        <v>3067</v>
      </c>
      <c r="B58">
        <v>2148</v>
      </c>
      <c r="C58">
        <v>1</v>
      </c>
      <c r="D58">
        <v>16</v>
      </c>
      <c r="E58" s="5" t="s">
        <v>105</v>
      </c>
      <c r="F58" s="5" t="s">
        <v>3</v>
      </c>
      <c r="G58" s="5" t="s">
        <v>99</v>
      </c>
      <c r="H58" s="5" t="s">
        <v>27</v>
      </c>
      <c r="I58" s="5"/>
      <c r="J58" s="5" t="s">
        <v>100</v>
      </c>
      <c r="K58" s="5"/>
      <c r="L58" s="5" t="s">
        <v>101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</row>
    <row r="59" spans="1:32" hidden="1" x14ac:dyDescent="0.2">
      <c r="A59">
        <v>3067</v>
      </c>
      <c r="B59">
        <v>1593</v>
      </c>
      <c r="C59">
        <v>1</v>
      </c>
      <c r="D59">
        <v>16</v>
      </c>
      <c r="E59" s="5" t="s">
        <v>105</v>
      </c>
      <c r="F59" s="5" t="s">
        <v>102</v>
      </c>
      <c r="G59" s="5" t="s">
        <v>99</v>
      </c>
      <c r="H59" s="5" t="s">
        <v>27</v>
      </c>
      <c r="I59" s="5"/>
      <c r="J59" s="5" t="s">
        <v>103</v>
      </c>
      <c r="K59" s="5"/>
      <c r="L59" s="5" t="s">
        <v>101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</row>
    <row r="60" spans="1:32" hidden="1" x14ac:dyDescent="0.2">
      <c r="A60">
        <v>3067</v>
      </c>
      <c r="B60">
        <v>2148</v>
      </c>
      <c r="C60">
        <v>1</v>
      </c>
      <c r="D60">
        <v>11</v>
      </c>
      <c r="E60" s="5" t="s">
        <v>105</v>
      </c>
      <c r="F60" s="5" t="s">
        <v>3</v>
      </c>
      <c r="G60" s="5" t="s">
        <v>99</v>
      </c>
      <c r="H60" s="5" t="s">
        <v>28</v>
      </c>
      <c r="I60" s="5"/>
      <c r="J60" s="5" t="s">
        <v>100</v>
      </c>
      <c r="K60" s="5"/>
      <c r="L60" s="5" t="s">
        <v>101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</row>
    <row r="61" spans="1:32" hidden="1" x14ac:dyDescent="0.2">
      <c r="A61">
        <v>3067</v>
      </c>
      <c r="B61">
        <v>1593</v>
      </c>
      <c r="C61">
        <v>1</v>
      </c>
      <c r="D61">
        <v>11</v>
      </c>
      <c r="E61" s="5" t="s">
        <v>105</v>
      </c>
      <c r="F61" s="5" t="s">
        <v>102</v>
      </c>
      <c r="G61" s="5" t="s">
        <v>99</v>
      </c>
      <c r="H61" s="5" t="s">
        <v>28</v>
      </c>
      <c r="I61" s="5"/>
      <c r="J61" s="5" t="s">
        <v>103</v>
      </c>
      <c r="K61" s="5"/>
      <c r="L61" s="5" t="s">
        <v>101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</row>
    <row r="62" spans="1:32" hidden="1" x14ac:dyDescent="0.2">
      <c r="A62">
        <v>3067</v>
      </c>
      <c r="B62">
        <v>2148</v>
      </c>
      <c r="C62">
        <v>1</v>
      </c>
      <c r="D62">
        <v>14</v>
      </c>
      <c r="E62" s="5" t="s">
        <v>105</v>
      </c>
      <c r="F62" s="5" t="s">
        <v>3</v>
      </c>
      <c r="G62" s="5" t="s">
        <v>99</v>
      </c>
      <c r="H62" s="5" t="s">
        <v>1</v>
      </c>
      <c r="I62" s="5"/>
      <c r="J62" s="5" t="s">
        <v>100</v>
      </c>
      <c r="K62" s="5"/>
      <c r="L62" s="5" t="s">
        <v>101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</row>
    <row r="63" spans="1:32" hidden="1" x14ac:dyDescent="0.2">
      <c r="A63">
        <v>3067</v>
      </c>
      <c r="B63">
        <v>1593</v>
      </c>
      <c r="C63">
        <v>1</v>
      </c>
      <c r="D63">
        <v>14</v>
      </c>
      <c r="E63" s="5" t="s">
        <v>105</v>
      </c>
      <c r="F63" s="5" t="s">
        <v>102</v>
      </c>
      <c r="G63" s="5" t="s">
        <v>99</v>
      </c>
      <c r="H63" s="5" t="s">
        <v>1</v>
      </c>
      <c r="I63" s="5"/>
      <c r="J63" s="5" t="s">
        <v>103</v>
      </c>
      <c r="K63" s="5"/>
      <c r="L63" s="5" t="s">
        <v>101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</row>
    <row r="64" spans="1:32" hidden="1" x14ac:dyDescent="0.2">
      <c r="A64">
        <v>14273</v>
      </c>
      <c r="B64">
        <v>2148</v>
      </c>
      <c r="C64">
        <v>1</v>
      </c>
      <c r="D64">
        <v>15</v>
      </c>
      <c r="E64" s="5" t="s">
        <v>106</v>
      </c>
      <c r="F64" s="5" t="s">
        <v>3</v>
      </c>
      <c r="G64" s="5" t="s">
        <v>99</v>
      </c>
      <c r="H64" s="5" t="s">
        <v>15</v>
      </c>
      <c r="I64" s="5"/>
      <c r="J64" s="5" t="s">
        <v>100</v>
      </c>
      <c r="K64" s="5"/>
      <c r="L64" s="5" t="s">
        <v>101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</row>
    <row r="65" spans="1:32" hidden="1" x14ac:dyDescent="0.2">
      <c r="A65">
        <v>14273</v>
      </c>
      <c r="B65">
        <v>1593</v>
      </c>
      <c r="C65">
        <v>1</v>
      </c>
      <c r="D65">
        <v>15</v>
      </c>
      <c r="E65" s="5" t="s">
        <v>106</v>
      </c>
      <c r="F65" s="5" t="s">
        <v>102</v>
      </c>
      <c r="G65" s="5" t="s">
        <v>99</v>
      </c>
      <c r="H65" s="5" t="s">
        <v>15</v>
      </c>
      <c r="I65" s="5"/>
      <c r="J65" s="5" t="s">
        <v>103</v>
      </c>
      <c r="K65" s="5"/>
      <c r="L65" s="5" t="s">
        <v>101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</row>
    <row r="66" spans="1:32" hidden="1" x14ac:dyDescent="0.2">
      <c r="A66">
        <v>14273</v>
      </c>
      <c r="B66">
        <v>2148</v>
      </c>
      <c r="C66">
        <v>1</v>
      </c>
      <c r="D66">
        <v>6</v>
      </c>
      <c r="E66" s="5" t="s">
        <v>106</v>
      </c>
      <c r="F66" s="5" t="s">
        <v>3</v>
      </c>
      <c r="G66" s="5" t="s">
        <v>99</v>
      </c>
      <c r="H66" s="5" t="s">
        <v>17</v>
      </c>
      <c r="I66" s="5"/>
      <c r="J66" s="5" t="s">
        <v>100</v>
      </c>
      <c r="K66" s="5"/>
      <c r="L66" s="5" t="s">
        <v>101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</row>
    <row r="67" spans="1:32" hidden="1" x14ac:dyDescent="0.2">
      <c r="A67">
        <v>14273</v>
      </c>
      <c r="B67">
        <v>1593</v>
      </c>
      <c r="C67">
        <v>1</v>
      </c>
      <c r="D67">
        <v>6</v>
      </c>
      <c r="E67" s="5" t="s">
        <v>106</v>
      </c>
      <c r="F67" s="5" t="s">
        <v>102</v>
      </c>
      <c r="G67" s="5" t="s">
        <v>99</v>
      </c>
      <c r="H67" s="5" t="s">
        <v>17</v>
      </c>
      <c r="I67" s="5"/>
      <c r="J67" s="5" t="s">
        <v>103</v>
      </c>
      <c r="K67" s="5"/>
      <c r="L67" s="5" t="s">
        <v>101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</row>
    <row r="68" spans="1:32" hidden="1" x14ac:dyDescent="0.2">
      <c r="A68">
        <v>14273</v>
      </c>
      <c r="B68">
        <v>2148</v>
      </c>
      <c r="C68">
        <v>1</v>
      </c>
      <c r="D68">
        <v>1</v>
      </c>
      <c r="E68" s="5" t="s">
        <v>106</v>
      </c>
      <c r="F68" s="5" t="s">
        <v>3</v>
      </c>
      <c r="G68" s="5" t="s">
        <v>99</v>
      </c>
      <c r="H68" s="5" t="s">
        <v>19</v>
      </c>
      <c r="I68" s="5"/>
      <c r="J68" s="5" t="s">
        <v>100</v>
      </c>
      <c r="K68" s="5"/>
      <c r="L68" s="5" t="s">
        <v>101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</row>
    <row r="69" spans="1:32" x14ac:dyDescent="0.2">
      <c r="A69">
        <v>14273</v>
      </c>
      <c r="B69">
        <v>1593</v>
      </c>
      <c r="C69">
        <v>1</v>
      </c>
      <c r="D69">
        <v>1</v>
      </c>
      <c r="E69" s="5" t="s">
        <v>106</v>
      </c>
      <c r="F69" s="5" t="s">
        <v>102</v>
      </c>
      <c r="G69" s="5" t="s">
        <v>99</v>
      </c>
      <c r="H69" s="5" t="s">
        <v>19</v>
      </c>
      <c r="I69" s="5"/>
      <c r="J69" s="5" t="s">
        <v>103</v>
      </c>
      <c r="K69" s="5"/>
      <c r="L69" s="5" t="s">
        <v>101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</row>
    <row r="70" spans="1:32" hidden="1" x14ac:dyDescent="0.2">
      <c r="A70">
        <v>14273</v>
      </c>
      <c r="B70">
        <v>2148</v>
      </c>
      <c r="C70">
        <v>1</v>
      </c>
      <c r="D70">
        <v>13</v>
      </c>
      <c r="E70" s="5" t="s">
        <v>106</v>
      </c>
      <c r="F70" s="5" t="s">
        <v>3</v>
      </c>
      <c r="G70" s="5" t="s">
        <v>99</v>
      </c>
      <c r="H70" s="5" t="s">
        <v>20</v>
      </c>
      <c r="I70" s="5"/>
      <c r="J70" s="5" t="s">
        <v>100</v>
      </c>
      <c r="K70" s="5"/>
      <c r="L70" s="5" t="s">
        <v>101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</row>
    <row r="71" spans="1:32" hidden="1" x14ac:dyDescent="0.2">
      <c r="A71">
        <v>14273</v>
      </c>
      <c r="B71">
        <v>1593</v>
      </c>
      <c r="C71">
        <v>1</v>
      </c>
      <c r="D71">
        <v>13</v>
      </c>
      <c r="E71" s="5" t="s">
        <v>106</v>
      </c>
      <c r="F71" s="5" t="s">
        <v>102</v>
      </c>
      <c r="G71" s="5" t="s">
        <v>99</v>
      </c>
      <c r="H71" s="5" t="s">
        <v>20</v>
      </c>
      <c r="I71" s="5"/>
      <c r="J71" s="5" t="s">
        <v>103</v>
      </c>
      <c r="K71" s="5"/>
      <c r="L71" s="5" t="s">
        <v>101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</row>
    <row r="72" spans="1:32" hidden="1" x14ac:dyDescent="0.2">
      <c r="A72">
        <v>14273</v>
      </c>
      <c r="B72">
        <v>2148</v>
      </c>
      <c r="C72">
        <v>1</v>
      </c>
      <c r="D72">
        <v>17</v>
      </c>
      <c r="E72" s="5" t="s">
        <v>106</v>
      </c>
      <c r="F72" s="5" t="s">
        <v>3</v>
      </c>
      <c r="G72" s="5" t="s">
        <v>99</v>
      </c>
      <c r="H72" s="5" t="s">
        <v>22</v>
      </c>
      <c r="I72" s="5"/>
      <c r="J72" s="5" t="s">
        <v>100</v>
      </c>
      <c r="K72" s="5"/>
      <c r="L72" s="5" t="s">
        <v>101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</row>
    <row r="73" spans="1:32" hidden="1" x14ac:dyDescent="0.2">
      <c r="A73">
        <v>14273</v>
      </c>
      <c r="B73">
        <v>1593</v>
      </c>
      <c r="C73">
        <v>1</v>
      </c>
      <c r="D73">
        <v>17</v>
      </c>
      <c r="E73" s="5" t="s">
        <v>106</v>
      </c>
      <c r="F73" s="5" t="s">
        <v>102</v>
      </c>
      <c r="G73" s="5" t="s">
        <v>99</v>
      </c>
      <c r="H73" s="5" t="s">
        <v>22</v>
      </c>
      <c r="I73" s="5"/>
      <c r="J73" s="5" t="s">
        <v>103</v>
      </c>
      <c r="K73" s="5"/>
      <c r="L73" s="5" t="s">
        <v>101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</row>
    <row r="74" spans="1:32" hidden="1" x14ac:dyDescent="0.2">
      <c r="A74">
        <v>14273</v>
      </c>
      <c r="B74">
        <v>2148</v>
      </c>
      <c r="C74">
        <v>1</v>
      </c>
      <c r="D74">
        <v>12</v>
      </c>
      <c r="E74" s="5" t="s">
        <v>106</v>
      </c>
      <c r="F74" s="5" t="s">
        <v>3</v>
      </c>
      <c r="G74" s="5" t="s">
        <v>99</v>
      </c>
      <c r="H74" s="5" t="s">
        <v>23</v>
      </c>
      <c r="I74" s="5"/>
      <c r="J74" s="5" t="s">
        <v>100</v>
      </c>
      <c r="K74" s="5"/>
      <c r="L74" s="5" t="s">
        <v>101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</row>
    <row r="75" spans="1:32" hidden="1" x14ac:dyDescent="0.2">
      <c r="A75">
        <v>14273</v>
      </c>
      <c r="B75">
        <v>1593</v>
      </c>
      <c r="C75">
        <v>1</v>
      </c>
      <c r="D75">
        <v>12</v>
      </c>
      <c r="E75" s="5" t="s">
        <v>106</v>
      </c>
      <c r="F75" s="5" t="s">
        <v>102</v>
      </c>
      <c r="G75" s="5" t="s">
        <v>99</v>
      </c>
      <c r="H75" s="5" t="s">
        <v>23</v>
      </c>
      <c r="I75" s="5"/>
      <c r="J75" s="5" t="s">
        <v>103</v>
      </c>
      <c r="K75" s="5"/>
      <c r="L75" s="5" t="s">
        <v>101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</row>
    <row r="76" spans="1:32" hidden="1" x14ac:dyDescent="0.2">
      <c r="A76">
        <v>14273</v>
      </c>
      <c r="B76">
        <v>2148</v>
      </c>
      <c r="C76">
        <v>1</v>
      </c>
      <c r="D76">
        <v>19</v>
      </c>
      <c r="E76" s="5" t="s">
        <v>106</v>
      </c>
      <c r="F76" s="5" t="s">
        <v>3</v>
      </c>
      <c r="G76" s="5" t="s">
        <v>99</v>
      </c>
      <c r="H76" s="5" t="s">
        <v>25</v>
      </c>
      <c r="I76" s="5"/>
      <c r="J76" s="5" t="s">
        <v>100</v>
      </c>
      <c r="K76" s="5"/>
      <c r="L76" s="5" t="s">
        <v>101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</row>
    <row r="77" spans="1:32" hidden="1" x14ac:dyDescent="0.2">
      <c r="A77">
        <v>14273</v>
      </c>
      <c r="B77">
        <v>1593</v>
      </c>
      <c r="C77">
        <v>1</v>
      </c>
      <c r="D77">
        <v>19</v>
      </c>
      <c r="E77" s="5" t="s">
        <v>106</v>
      </c>
      <c r="F77" s="5" t="s">
        <v>102</v>
      </c>
      <c r="G77" s="5" t="s">
        <v>99</v>
      </c>
      <c r="H77" s="5" t="s">
        <v>25</v>
      </c>
      <c r="I77" s="5"/>
      <c r="J77" s="5" t="s">
        <v>103</v>
      </c>
      <c r="K77" s="5"/>
      <c r="L77" s="5" t="s">
        <v>101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</row>
    <row r="78" spans="1:32" hidden="1" x14ac:dyDescent="0.2">
      <c r="A78">
        <v>14273</v>
      </c>
      <c r="B78">
        <v>2148</v>
      </c>
      <c r="C78">
        <v>1</v>
      </c>
      <c r="D78">
        <v>16</v>
      </c>
      <c r="E78" s="5" t="s">
        <v>106</v>
      </c>
      <c r="F78" s="5" t="s">
        <v>3</v>
      </c>
      <c r="G78" s="5" t="s">
        <v>99</v>
      </c>
      <c r="H78" s="5" t="s">
        <v>27</v>
      </c>
      <c r="I78" s="5"/>
      <c r="J78" s="5" t="s">
        <v>100</v>
      </c>
      <c r="K78" s="5"/>
      <c r="L78" s="5" t="s">
        <v>101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</row>
    <row r="79" spans="1:32" hidden="1" x14ac:dyDescent="0.2">
      <c r="A79">
        <v>14273</v>
      </c>
      <c r="B79">
        <v>1593</v>
      </c>
      <c r="C79">
        <v>1</v>
      </c>
      <c r="D79">
        <v>16</v>
      </c>
      <c r="E79" s="5" t="s">
        <v>106</v>
      </c>
      <c r="F79" s="5" t="s">
        <v>102</v>
      </c>
      <c r="G79" s="5" t="s">
        <v>99</v>
      </c>
      <c r="H79" s="5" t="s">
        <v>27</v>
      </c>
      <c r="I79" s="5"/>
      <c r="J79" s="5" t="s">
        <v>103</v>
      </c>
      <c r="K79" s="5"/>
      <c r="L79" s="5" t="s">
        <v>101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</row>
    <row r="80" spans="1:32" hidden="1" x14ac:dyDescent="0.2">
      <c r="A80">
        <v>14273</v>
      </c>
      <c r="B80">
        <v>2148</v>
      </c>
      <c r="C80">
        <v>1</v>
      </c>
      <c r="D80">
        <v>11</v>
      </c>
      <c r="E80" s="5" t="s">
        <v>106</v>
      </c>
      <c r="F80" s="5" t="s">
        <v>3</v>
      </c>
      <c r="G80" s="5" t="s">
        <v>99</v>
      </c>
      <c r="H80" s="5" t="s">
        <v>28</v>
      </c>
      <c r="I80" s="5"/>
      <c r="J80" s="5" t="s">
        <v>100</v>
      </c>
      <c r="K80" s="5"/>
      <c r="L80" s="5" t="s">
        <v>101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</row>
    <row r="81" spans="1:32" hidden="1" x14ac:dyDescent="0.2">
      <c r="A81">
        <v>14273</v>
      </c>
      <c r="B81">
        <v>1593</v>
      </c>
      <c r="C81">
        <v>1</v>
      </c>
      <c r="D81">
        <v>11</v>
      </c>
      <c r="E81" s="5" t="s">
        <v>106</v>
      </c>
      <c r="F81" s="5" t="s">
        <v>102</v>
      </c>
      <c r="G81" s="5" t="s">
        <v>99</v>
      </c>
      <c r="H81" s="5" t="s">
        <v>28</v>
      </c>
      <c r="I81" s="5"/>
      <c r="J81" s="5" t="s">
        <v>103</v>
      </c>
      <c r="K81" s="5"/>
      <c r="L81" s="5" t="s">
        <v>101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</row>
    <row r="82" spans="1:32" hidden="1" x14ac:dyDescent="0.2">
      <c r="A82">
        <v>14273</v>
      </c>
      <c r="B82">
        <v>2148</v>
      </c>
      <c r="C82">
        <v>1</v>
      </c>
      <c r="D82">
        <v>14</v>
      </c>
      <c r="E82" s="5" t="s">
        <v>106</v>
      </c>
      <c r="F82" s="5" t="s">
        <v>3</v>
      </c>
      <c r="G82" s="5" t="s">
        <v>99</v>
      </c>
      <c r="H82" s="5" t="s">
        <v>1</v>
      </c>
      <c r="I82" s="5"/>
      <c r="J82" s="5" t="s">
        <v>100</v>
      </c>
      <c r="K82" s="5"/>
      <c r="L82" s="5" t="s">
        <v>101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</row>
    <row r="83" spans="1:32" hidden="1" x14ac:dyDescent="0.2">
      <c r="A83">
        <v>14273</v>
      </c>
      <c r="B83">
        <v>1593</v>
      </c>
      <c r="C83">
        <v>1</v>
      </c>
      <c r="D83">
        <v>14</v>
      </c>
      <c r="E83" s="5" t="s">
        <v>106</v>
      </c>
      <c r="F83" s="5" t="s">
        <v>102</v>
      </c>
      <c r="G83" s="5" t="s">
        <v>99</v>
      </c>
      <c r="H83" s="5" t="s">
        <v>1</v>
      </c>
      <c r="I83" s="5"/>
      <c r="J83" s="5" t="s">
        <v>103</v>
      </c>
      <c r="K83" s="5"/>
      <c r="L83" s="5" t="s">
        <v>101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</row>
    <row r="84" spans="1:32" hidden="1" x14ac:dyDescent="0.2">
      <c r="A84">
        <v>14329</v>
      </c>
      <c r="B84">
        <v>2148</v>
      </c>
      <c r="C84">
        <v>1</v>
      </c>
      <c r="D84">
        <v>15</v>
      </c>
      <c r="E84" s="5" t="s">
        <v>107</v>
      </c>
      <c r="F84" s="5" t="s">
        <v>3</v>
      </c>
      <c r="G84" s="5" t="s">
        <v>99</v>
      </c>
      <c r="H84" s="5" t="s">
        <v>15</v>
      </c>
      <c r="I84" s="5"/>
      <c r="J84" s="5" t="s">
        <v>100</v>
      </c>
      <c r="K84" s="5"/>
      <c r="L84" s="5" t="s">
        <v>101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</row>
    <row r="85" spans="1:32" hidden="1" x14ac:dyDescent="0.2">
      <c r="A85">
        <v>14329</v>
      </c>
      <c r="B85">
        <v>1593</v>
      </c>
      <c r="C85">
        <v>1</v>
      </c>
      <c r="D85">
        <v>15</v>
      </c>
      <c r="E85" s="5" t="s">
        <v>107</v>
      </c>
      <c r="F85" s="5" t="s">
        <v>102</v>
      </c>
      <c r="G85" s="5" t="s">
        <v>99</v>
      </c>
      <c r="H85" s="5" t="s">
        <v>15</v>
      </c>
      <c r="I85" s="5"/>
      <c r="J85" s="5" t="s">
        <v>103</v>
      </c>
      <c r="K85" s="5"/>
      <c r="L85" s="5" t="s">
        <v>101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</row>
    <row r="86" spans="1:32" hidden="1" x14ac:dyDescent="0.2">
      <c r="A86">
        <v>14329</v>
      </c>
      <c r="B86">
        <v>2148</v>
      </c>
      <c r="C86">
        <v>1</v>
      </c>
      <c r="D86">
        <v>6</v>
      </c>
      <c r="E86" s="5" t="s">
        <v>107</v>
      </c>
      <c r="F86" s="5" t="s">
        <v>3</v>
      </c>
      <c r="G86" s="5" t="s">
        <v>99</v>
      </c>
      <c r="H86" s="5" t="s">
        <v>17</v>
      </c>
      <c r="I86" s="5"/>
      <c r="J86" s="5" t="s">
        <v>100</v>
      </c>
      <c r="K86" s="5"/>
      <c r="L86" s="5" t="s">
        <v>101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</row>
    <row r="87" spans="1:32" hidden="1" x14ac:dyDescent="0.2">
      <c r="A87">
        <v>14329</v>
      </c>
      <c r="B87">
        <v>1593</v>
      </c>
      <c r="C87">
        <v>1</v>
      </c>
      <c r="D87">
        <v>6</v>
      </c>
      <c r="E87" s="5" t="s">
        <v>107</v>
      </c>
      <c r="F87" s="5" t="s">
        <v>102</v>
      </c>
      <c r="G87" s="5" t="s">
        <v>99</v>
      </c>
      <c r="H87" s="5" t="s">
        <v>17</v>
      </c>
      <c r="I87" s="5"/>
      <c r="J87" s="5" t="s">
        <v>103</v>
      </c>
      <c r="K87" s="5"/>
      <c r="L87" s="5" t="s">
        <v>101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</row>
    <row r="88" spans="1:32" hidden="1" x14ac:dyDescent="0.2">
      <c r="A88">
        <v>14329</v>
      </c>
      <c r="B88">
        <v>2148</v>
      </c>
      <c r="C88">
        <v>1</v>
      </c>
      <c r="D88">
        <v>1</v>
      </c>
      <c r="E88" s="5" t="s">
        <v>107</v>
      </c>
      <c r="F88" s="5" t="s">
        <v>3</v>
      </c>
      <c r="G88" s="5" t="s">
        <v>99</v>
      </c>
      <c r="H88" s="5" t="s">
        <v>19</v>
      </c>
      <c r="I88" s="5"/>
      <c r="J88" s="5" t="s">
        <v>100</v>
      </c>
      <c r="K88" s="5"/>
      <c r="L88" s="5" t="s">
        <v>101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</row>
    <row r="89" spans="1:32" x14ac:dyDescent="0.2">
      <c r="A89">
        <v>14329</v>
      </c>
      <c r="B89">
        <v>1593</v>
      </c>
      <c r="C89">
        <v>1</v>
      </c>
      <c r="D89">
        <v>1</v>
      </c>
      <c r="E89" s="5" t="s">
        <v>107</v>
      </c>
      <c r="F89" s="5" t="s">
        <v>102</v>
      </c>
      <c r="G89" s="5" t="s">
        <v>99</v>
      </c>
      <c r="H89" s="5" t="s">
        <v>19</v>
      </c>
      <c r="I89" s="5"/>
      <c r="J89" s="5" t="s">
        <v>103</v>
      </c>
      <c r="K89" s="5"/>
      <c r="L89" s="5" t="s">
        <v>101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</row>
    <row r="90" spans="1:32" hidden="1" x14ac:dyDescent="0.2">
      <c r="A90">
        <v>14329</v>
      </c>
      <c r="B90">
        <v>2148</v>
      </c>
      <c r="C90">
        <v>1</v>
      </c>
      <c r="D90">
        <v>13</v>
      </c>
      <c r="E90" s="5" t="s">
        <v>107</v>
      </c>
      <c r="F90" s="5" t="s">
        <v>3</v>
      </c>
      <c r="G90" s="5" t="s">
        <v>99</v>
      </c>
      <c r="H90" s="5" t="s">
        <v>20</v>
      </c>
      <c r="I90" s="5"/>
      <c r="J90" s="5" t="s">
        <v>100</v>
      </c>
      <c r="K90" s="5"/>
      <c r="L90" s="5" t="s">
        <v>101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</row>
    <row r="91" spans="1:32" hidden="1" x14ac:dyDescent="0.2">
      <c r="A91">
        <v>14329</v>
      </c>
      <c r="B91">
        <v>1593</v>
      </c>
      <c r="C91">
        <v>1</v>
      </c>
      <c r="D91">
        <v>13</v>
      </c>
      <c r="E91" s="5" t="s">
        <v>107</v>
      </c>
      <c r="F91" s="5" t="s">
        <v>102</v>
      </c>
      <c r="G91" s="5" t="s">
        <v>99</v>
      </c>
      <c r="H91" s="5" t="s">
        <v>20</v>
      </c>
      <c r="I91" s="5"/>
      <c r="J91" s="5" t="s">
        <v>103</v>
      </c>
      <c r="K91" s="5"/>
      <c r="L91" s="5" t="s">
        <v>101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</row>
    <row r="92" spans="1:32" hidden="1" x14ac:dyDescent="0.2">
      <c r="A92">
        <v>14329</v>
      </c>
      <c r="B92">
        <v>2148</v>
      </c>
      <c r="C92">
        <v>1</v>
      </c>
      <c r="D92">
        <v>17</v>
      </c>
      <c r="E92" s="5" t="s">
        <v>107</v>
      </c>
      <c r="F92" s="5" t="s">
        <v>3</v>
      </c>
      <c r="G92" s="5" t="s">
        <v>99</v>
      </c>
      <c r="H92" s="5" t="s">
        <v>22</v>
      </c>
      <c r="I92" s="5"/>
      <c r="J92" s="5" t="s">
        <v>100</v>
      </c>
      <c r="K92" s="5"/>
      <c r="L92" s="5" t="s">
        <v>101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</row>
    <row r="93" spans="1:32" hidden="1" x14ac:dyDescent="0.2">
      <c r="A93">
        <v>14329</v>
      </c>
      <c r="B93">
        <v>1593</v>
      </c>
      <c r="C93">
        <v>1</v>
      </c>
      <c r="D93">
        <v>17</v>
      </c>
      <c r="E93" s="5" t="s">
        <v>107</v>
      </c>
      <c r="F93" s="5" t="s">
        <v>102</v>
      </c>
      <c r="G93" s="5" t="s">
        <v>99</v>
      </c>
      <c r="H93" s="5" t="s">
        <v>22</v>
      </c>
      <c r="I93" s="5"/>
      <c r="J93" s="5" t="s">
        <v>103</v>
      </c>
      <c r="K93" s="5"/>
      <c r="L93" s="5" t="s">
        <v>101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</row>
    <row r="94" spans="1:32" hidden="1" x14ac:dyDescent="0.2">
      <c r="A94">
        <v>14329</v>
      </c>
      <c r="B94">
        <v>2148</v>
      </c>
      <c r="C94">
        <v>1</v>
      </c>
      <c r="D94">
        <v>12</v>
      </c>
      <c r="E94" s="5" t="s">
        <v>107</v>
      </c>
      <c r="F94" s="5" t="s">
        <v>3</v>
      </c>
      <c r="G94" s="5" t="s">
        <v>99</v>
      </c>
      <c r="H94" s="5" t="s">
        <v>23</v>
      </c>
      <c r="I94" s="5"/>
      <c r="J94" s="5" t="s">
        <v>100</v>
      </c>
      <c r="K94" s="5"/>
      <c r="L94" s="5" t="s">
        <v>101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</row>
    <row r="95" spans="1:32" hidden="1" x14ac:dyDescent="0.2">
      <c r="A95">
        <v>14329</v>
      </c>
      <c r="B95">
        <v>1593</v>
      </c>
      <c r="C95">
        <v>1</v>
      </c>
      <c r="D95">
        <v>12</v>
      </c>
      <c r="E95" s="5" t="s">
        <v>107</v>
      </c>
      <c r="F95" s="5" t="s">
        <v>102</v>
      </c>
      <c r="G95" s="5" t="s">
        <v>99</v>
      </c>
      <c r="H95" s="5" t="s">
        <v>23</v>
      </c>
      <c r="I95" s="5"/>
      <c r="J95" s="5" t="s">
        <v>103</v>
      </c>
      <c r="K95" s="5"/>
      <c r="L95" s="5" t="s">
        <v>101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</row>
    <row r="96" spans="1:32" hidden="1" x14ac:dyDescent="0.2">
      <c r="A96">
        <v>14329</v>
      </c>
      <c r="B96">
        <v>2148</v>
      </c>
      <c r="C96">
        <v>1</v>
      </c>
      <c r="D96">
        <v>19</v>
      </c>
      <c r="E96" s="5" t="s">
        <v>107</v>
      </c>
      <c r="F96" s="5" t="s">
        <v>3</v>
      </c>
      <c r="G96" s="5" t="s">
        <v>99</v>
      </c>
      <c r="H96" s="5" t="s">
        <v>25</v>
      </c>
      <c r="I96" s="5"/>
      <c r="J96" s="5" t="s">
        <v>100</v>
      </c>
      <c r="K96" s="5"/>
      <c r="L96" s="5" t="s">
        <v>101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</row>
    <row r="97" spans="1:32" hidden="1" x14ac:dyDescent="0.2">
      <c r="A97">
        <v>14329</v>
      </c>
      <c r="B97">
        <v>1593</v>
      </c>
      <c r="C97">
        <v>1</v>
      </c>
      <c r="D97">
        <v>19</v>
      </c>
      <c r="E97" s="5" t="s">
        <v>107</v>
      </c>
      <c r="F97" s="5" t="s">
        <v>102</v>
      </c>
      <c r="G97" s="5" t="s">
        <v>99</v>
      </c>
      <c r="H97" s="5" t="s">
        <v>25</v>
      </c>
      <c r="I97" s="5"/>
      <c r="J97" s="5" t="s">
        <v>103</v>
      </c>
      <c r="K97" s="5"/>
      <c r="L97" s="5" t="s">
        <v>101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</row>
    <row r="98" spans="1:32" hidden="1" x14ac:dyDescent="0.2">
      <c r="A98">
        <v>14329</v>
      </c>
      <c r="B98">
        <v>2148</v>
      </c>
      <c r="C98">
        <v>1</v>
      </c>
      <c r="D98">
        <v>16</v>
      </c>
      <c r="E98" s="5" t="s">
        <v>107</v>
      </c>
      <c r="F98" s="5" t="s">
        <v>3</v>
      </c>
      <c r="G98" s="5" t="s">
        <v>99</v>
      </c>
      <c r="H98" s="5" t="s">
        <v>27</v>
      </c>
      <c r="I98" s="5"/>
      <c r="J98" s="5" t="s">
        <v>100</v>
      </c>
      <c r="K98" s="5"/>
      <c r="L98" s="5" t="s">
        <v>101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</row>
    <row r="99" spans="1:32" hidden="1" x14ac:dyDescent="0.2">
      <c r="A99">
        <v>14329</v>
      </c>
      <c r="B99">
        <v>1593</v>
      </c>
      <c r="C99">
        <v>1</v>
      </c>
      <c r="D99">
        <v>16</v>
      </c>
      <c r="E99" s="5" t="s">
        <v>107</v>
      </c>
      <c r="F99" s="5" t="s">
        <v>102</v>
      </c>
      <c r="G99" s="5" t="s">
        <v>99</v>
      </c>
      <c r="H99" s="5" t="s">
        <v>27</v>
      </c>
      <c r="I99" s="5"/>
      <c r="J99" s="5" t="s">
        <v>103</v>
      </c>
      <c r="K99" s="5"/>
      <c r="L99" s="5" t="s">
        <v>101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</row>
    <row r="100" spans="1:32" hidden="1" x14ac:dyDescent="0.2">
      <c r="A100">
        <v>14329</v>
      </c>
      <c r="B100">
        <v>2148</v>
      </c>
      <c r="C100">
        <v>1</v>
      </c>
      <c r="D100">
        <v>11</v>
      </c>
      <c r="E100" s="5" t="s">
        <v>107</v>
      </c>
      <c r="F100" s="5" t="s">
        <v>3</v>
      </c>
      <c r="G100" s="5" t="s">
        <v>99</v>
      </c>
      <c r="H100" s="5" t="s">
        <v>28</v>
      </c>
      <c r="I100" s="5"/>
      <c r="J100" s="5" t="s">
        <v>100</v>
      </c>
      <c r="K100" s="5"/>
      <c r="L100" s="5" t="s">
        <v>101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</row>
    <row r="101" spans="1:32" hidden="1" x14ac:dyDescent="0.2">
      <c r="A101">
        <v>14329</v>
      </c>
      <c r="B101">
        <v>1593</v>
      </c>
      <c r="C101">
        <v>1</v>
      </c>
      <c r="D101">
        <v>11</v>
      </c>
      <c r="E101" s="5" t="s">
        <v>107</v>
      </c>
      <c r="F101" s="5" t="s">
        <v>102</v>
      </c>
      <c r="G101" s="5" t="s">
        <v>99</v>
      </c>
      <c r="H101" s="5" t="s">
        <v>28</v>
      </c>
      <c r="I101" s="5"/>
      <c r="J101" s="5" t="s">
        <v>103</v>
      </c>
      <c r="K101" s="5"/>
      <c r="L101" s="5" t="s">
        <v>101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</row>
    <row r="102" spans="1:32" hidden="1" x14ac:dyDescent="0.2">
      <c r="A102">
        <v>14329</v>
      </c>
      <c r="B102">
        <v>2148</v>
      </c>
      <c r="C102">
        <v>1</v>
      </c>
      <c r="D102">
        <v>14</v>
      </c>
      <c r="E102" s="5" t="s">
        <v>107</v>
      </c>
      <c r="F102" s="5" t="s">
        <v>3</v>
      </c>
      <c r="G102" s="5" t="s">
        <v>99</v>
      </c>
      <c r="H102" s="5" t="s">
        <v>1</v>
      </c>
      <c r="I102" s="5"/>
      <c r="J102" s="5" t="s">
        <v>100</v>
      </c>
      <c r="K102" s="5"/>
      <c r="L102" s="5" t="s">
        <v>101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</row>
    <row r="103" spans="1:32" hidden="1" x14ac:dyDescent="0.2">
      <c r="A103">
        <v>14329</v>
      </c>
      <c r="B103">
        <v>1593</v>
      </c>
      <c r="C103">
        <v>1</v>
      </c>
      <c r="D103">
        <v>14</v>
      </c>
      <c r="E103" s="5" t="s">
        <v>107</v>
      </c>
      <c r="F103" s="5" t="s">
        <v>102</v>
      </c>
      <c r="G103" s="5" t="s">
        <v>99</v>
      </c>
      <c r="H103" s="5" t="s">
        <v>1</v>
      </c>
      <c r="I103" s="5"/>
      <c r="J103" s="5" t="s">
        <v>103</v>
      </c>
      <c r="K103" s="5"/>
      <c r="L103" s="5" t="s">
        <v>101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</row>
    <row r="104" spans="1:32" hidden="1" x14ac:dyDescent="0.2">
      <c r="A104">
        <v>3122</v>
      </c>
      <c r="B104">
        <v>2148</v>
      </c>
      <c r="C104">
        <v>1</v>
      </c>
      <c r="D104">
        <v>15</v>
      </c>
      <c r="E104" s="5" t="s">
        <v>108</v>
      </c>
      <c r="F104" s="5" t="s">
        <v>3</v>
      </c>
      <c r="G104" s="5" t="s">
        <v>99</v>
      </c>
      <c r="H104" s="5" t="s">
        <v>15</v>
      </c>
      <c r="I104" s="5"/>
      <c r="J104" s="5" t="s">
        <v>100</v>
      </c>
      <c r="K104" s="5"/>
      <c r="L104" s="5" t="s">
        <v>101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484.1</v>
      </c>
      <c r="AB104" s="5">
        <v>914.5</v>
      </c>
      <c r="AC104" s="5">
        <v>1241.9000000000001</v>
      </c>
      <c r="AD104" s="5">
        <v>1207.5999999999999</v>
      </c>
      <c r="AE104" s="5">
        <v>1144.3</v>
      </c>
      <c r="AF104" s="5">
        <v>1190.0999999999999</v>
      </c>
    </row>
    <row r="105" spans="1:32" hidden="1" x14ac:dyDescent="0.2">
      <c r="A105">
        <v>3122</v>
      </c>
      <c r="B105">
        <v>1593</v>
      </c>
      <c r="C105">
        <v>1</v>
      </c>
      <c r="D105">
        <v>15</v>
      </c>
      <c r="E105" s="5" t="s">
        <v>108</v>
      </c>
      <c r="F105" s="5" t="s">
        <v>102</v>
      </c>
      <c r="G105" s="5" t="s">
        <v>99</v>
      </c>
      <c r="H105" s="5" t="s">
        <v>15</v>
      </c>
      <c r="I105" s="5"/>
      <c r="J105" s="5" t="s">
        <v>103</v>
      </c>
      <c r="K105" s="5"/>
      <c r="L105" s="5" t="s">
        <v>101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254</v>
      </c>
      <c r="AB105" s="5">
        <v>254</v>
      </c>
      <c r="AC105" s="5">
        <v>254</v>
      </c>
      <c r="AD105" s="5">
        <v>254</v>
      </c>
      <c r="AE105" s="5">
        <v>254</v>
      </c>
      <c r="AF105" s="5">
        <v>254</v>
      </c>
    </row>
    <row r="106" spans="1:32" hidden="1" x14ac:dyDescent="0.2">
      <c r="A106">
        <v>3122</v>
      </c>
      <c r="B106">
        <v>2148</v>
      </c>
      <c r="C106">
        <v>1</v>
      </c>
      <c r="D106">
        <v>6</v>
      </c>
      <c r="E106" s="5" t="s">
        <v>108</v>
      </c>
      <c r="F106" s="5" t="s">
        <v>3</v>
      </c>
      <c r="G106" s="5" t="s">
        <v>99</v>
      </c>
      <c r="H106" s="5" t="s">
        <v>17</v>
      </c>
      <c r="I106" s="5"/>
      <c r="J106" s="5" t="s">
        <v>100</v>
      </c>
      <c r="K106" s="5"/>
      <c r="L106" s="5" t="s">
        <v>101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</row>
    <row r="107" spans="1:32" hidden="1" x14ac:dyDescent="0.2">
      <c r="A107">
        <v>3122</v>
      </c>
      <c r="B107">
        <v>1593</v>
      </c>
      <c r="C107">
        <v>1</v>
      </c>
      <c r="D107">
        <v>6</v>
      </c>
      <c r="E107" s="5" t="s">
        <v>108</v>
      </c>
      <c r="F107" s="5" t="s">
        <v>102</v>
      </c>
      <c r="G107" s="5" t="s">
        <v>99</v>
      </c>
      <c r="H107" s="5" t="s">
        <v>17</v>
      </c>
      <c r="I107" s="5"/>
      <c r="J107" s="5" t="s">
        <v>103</v>
      </c>
      <c r="K107" s="5"/>
      <c r="L107" s="5" t="s">
        <v>101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</row>
    <row r="108" spans="1:32" hidden="1" x14ac:dyDescent="0.2">
      <c r="A108">
        <v>3122</v>
      </c>
      <c r="B108">
        <v>2148</v>
      </c>
      <c r="C108">
        <v>1</v>
      </c>
      <c r="D108">
        <v>1</v>
      </c>
      <c r="E108" s="5" t="s">
        <v>108</v>
      </c>
      <c r="F108" s="5" t="s">
        <v>3</v>
      </c>
      <c r="G108" s="5" t="s">
        <v>99</v>
      </c>
      <c r="H108" s="5" t="s">
        <v>19</v>
      </c>
      <c r="I108" s="5"/>
      <c r="J108" s="5" t="s">
        <v>100</v>
      </c>
      <c r="K108" s="5"/>
      <c r="L108" s="5" t="s">
        <v>101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</row>
    <row r="109" spans="1:32" x14ac:dyDescent="0.2">
      <c r="A109">
        <v>3122</v>
      </c>
      <c r="B109">
        <v>1593</v>
      </c>
      <c r="C109">
        <v>1</v>
      </c>
      <c r="D109">
        <v>1</v>
      </c>
      <c r="E109" s="5" t="s">
        <v>108</v>
      </c>
      <c r="F109" s="5" t="s">
        <v>102</v>
      </c>
      <c r="G109" s="5" t="s">
        <v>99</v>
      </c>
      <c r="H109" s="5" t="s">
        <v>19</v>
      </c>
      <c r="I109" s="5"/>
      <c r="J109" s="5" t="s">
        <v>103</v>
      </c>
      <c r="K109" s="5"/>
      <c r="L109" s="5" t="s">
        <v>101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</row>
    <row r="110" spans="1:32" hidden="1" x14ac:dyDescent="0.2">
      <c r="A110">
        <v>3122</v>
      </c>
      <c r="B110">
        <v>2148</v>
      </c>
      <c r="C110">
        <v>1</v>
      </c>
      <c r="D110">
        <v>13</v>
      </c>
      <c r="E110" s="5" t="s">
        <v>108</v>
      </c>
      <c r="F110" s="5" t="s">
        <v>3</v>
      </c>
      <c r="G110" s="5" t="s">
        <v>99</v>
      </c>
      <c r="H110" s="5" t="s">
        <v>20</v>
      </c>
      <c r="I110" s="5"/>
      <c r="J110" s="5" t="s">
        <v>100</v>
      </c>
      <c r="K110" s="5"/>
      <c r="L110" s="5" t="s">
        <v>101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</row>
    <row r="111" spans="1:32" hidden="1" x14ac:dyDescent="0.2">
      <c r="A111">
        <v>3122</v>
      </c>
      <c r="B111">
        <v>1593</v>
      </c>
      <c r="C111">
        <v>1</v>
      </c>
      <c r="D111">
        <v>13</v>
      </c>
      <c r="E111" s="5" t="s">
        <v>108</v>
      </c>
      <c r="F111" s="5" t="s">
        <v>102</v>
      </c>
      <c r="G111" s="5" t="s">
        <v>99</v>
      </c>
      <c r="H111" s="5" t="s">
        <v>20</v>
      </c>
      <c r="I111" s="5"/>
      <c r="J111" s="5" t="s">
        <v>103</v>
      </c>
      <c r="K111" s="5"/>
      <c r="L111" s="5" t="s">
        <v>101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</row>
    <row r="112" spans="1:32" hidden="1" x14ac:dyDescent="0.2">
      <c r="A112">
        <v>3122</v>
      </c>
      <c r="B112">
        <v>2148</v>
      </c>
      <c r="C112">
        <v>1</v>
      </c>
      <c r="D112">
        <v>17</v>
      </c>
      <c r="E112" s="5" t="s">
        <v>108</v>
      </c>
      <c r="F112" s="5" t="s">
        <v>3</v>
      </c>
      <c r="G112" s="5" t="s">
        <v>99</v>
      </c>
      <c r="H112" s="5" t="s">
        <v>22</v>
      </c>
      <c r="I112" s="5"/>
      <c r="J112" s="5" t="s">
        <v>100</v>
      </c>
      <c r="K112" s="5"/>
      <c r="L112" s="5" t="s">
        <v>101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</row>
    <row r="113" spans="1:32" hidden="1" x14ac:dyDescent="0.2">
      <c r="A113">
        <v>3122</v>
      </c>
      <c r="B113">
        <v>1593</v>
      </c>
      <c r="C113">
        <v>1</v>
      </c>
      <c r="D113">
        <v>17</v>
      </c>
      <c r="E113" s="5" t="s">
        <v>108</v>
      </c>
      <c r="F113" s="5" t="s">
        <v>102</v>
      </c>
      <c r="G113" s="5" t="s">
        <v>99</v>
      </c>
      <c r="H113" s="5" t="s">
        <v>22</v>
      </c>
      <c r="I113" s="5"/>
      <c r="J113" s="5" t="s">
        <v>103</v>
      </c>
      <c r="K113" s="5"/>
      <c r="L113" s="5" t="s">
        <v>101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</row>
    <row r="114" spans="1:32" hidden="1" x14ac:dyDescent="0.2">
      <c r="A114">
        <v>3122</v>
      </c>
      <c r="B114">
        <v>2148</v>
      </c>
      <c r="C114">
        <v>1</v>
      </c>
      <c r="D114">
        <v>12</v>
      </c>
      <c r="E114" s="5" t="s">
        <v>108</v>
      </c>
      <c r="F114" s="5" t="s">
        <v>3</v>
      </c>
      <c r="G114" s="5" t="s">
        <v>99</v>
      </c>
      <c r="H114" s="5" t="s">
        <v>23</v>
      </c>
      <c r="I114" s="5"/>
      <c r="J114" s="5" t="s">
        <v>100</v>
      </c>
      <c r="K114" s="5"/>
      <c r="L114" s="5" t="s">
        <v>101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</row>
    <row r="115" spans="1:32" hidden="1" x14ac:dyDescent="0.2">
      <c r="A115">
        <v>3122</v>
      </c>
      <c r="B115">
        <v>1593</v>
      </c>
      <c r="C115">
        <v>1</v>
      </c>
      <c r="D115">
        <v>12</v>
      </c>
      <c r="E115" s="5" t="s">
        <v>108</v>
      </c>
      <c r="F115" s="5" t="s">
        <v>102</v>
      </c>
      <c r="G115" s="5" t="s">
        <v>99</v>
      </c>
      <c r="H115" s="5" t="s">
        <v>23</v>
      </c>
      <c r="I115" s="5"/>
      <c r="J115" s="5" t="s">
        <v>103</v>
      </c>
      <c r="K115" s="5"/>
      <c r="L115" s="5" t="s">
        <v>101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</row>
    <row r="116" spans="1:32" hidden="1" x14ac:dyDescent="0.2">
      <c r="A116">
        <v>3122</v>
      </c>
      <c r="B116">
        <v>2148</v>
      </c>
      <c r="C116">
        <v>1</v>
      </c>
      <c r="D116">
        <v>19</v>
      </c>
      <c r="E116" s="5" t="s">
        <v>108</v>
      </c>
      <c r="F116" s="5" t="s">
        <v>3</v>
      </c>
      <c r="G116" s="5" t="s">
        <v>99</v>
      </c>
      <c r="H116" s="5" t="s">
        <v>25</v>
      </c>
      <c r="I116" s="5"/>
      <c r="J116" s="5" t="s">
        <v>100</v>
      </c>
      <c r="K116" s="5"/>
      <c r="L116" s="5" t="s">
        <v>101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</row>
    <row r="117" spans="1:32" hidden="1" x14ac:dyDescent="0.2">
      <c r="A117">
        <v>3122</v>
      </c>
      <c r="B117">
        <v>1593</v>
      </c>
      <c r="C117">
        <v>1</v>
      </c>
      <c r="D117">
        <v>19</v>
      </c>
      <c r="E117" s="5" t="s">
        <v>108</v>
      </c>
      <c r="F117" s="5" t="s">
        <v>102</v>
      </c>
      <c r="G117" s="5" t="s">
        <v>99</v>
      </c>
      <c r="H117" s="5" t="s">
        <v>25</v>
      </c>
      <c r="I117" s="5"/>
      <c r="J117" s="5" t="s">
        <v>103</v>
      </c>
      <c r="K117" s="5"/>
      <c r="L117" s="5" t="s">
        <v>101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</row>
    <row r="118" spans="1:32" hidden="1" x14ac:dyDescent="0.2">
      <c r="A118">
        <v>3122</v>
      </c>
      <c r="B118">
        <v>2148</v>
      </c>
      <c r="C118">
        <v>1</v>
      </c>
      <c r="D118">
        <v>16</v>
      </c>
      <c r="E118" s="5" t="s">
        <v>108</v>
      </c>
      <c r="F118" s="5" t="s">
        <v>3</v>
      </c>
      <c r="G118" s="5" t="s">
        <v>99</v>
      </c>
      <c r="H118" s="5" t="s">
        <v>27</v>
      </c>
      <c r="I118" s="5"/>
      <c r="J118" s="5" t="s">
        <v>100</v>
      </c>
      <c r="K118" s="5"/>
      <c r="L118" s="5" t="s">
        <v>101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</row>
    <row r="119" spans="1:32" hidden="1" x14ac:dyDescent="0.2">
      <c r="A119">
        <v>3122</v>
      </c>
      <c r="B119">
        <v>1593</v>
      </c>
      <c r="C119">
        <v>1</v>
      </c>
      <c r="D119">
        <v>16</v>
      </c>
      <c r="E119" s="5" t="s">
        <v>108</v>
      </c>
      <c r="F119" s="5" t="s">
        <v>102</v>
      </c>
      <c r="G119" s="5" t="s">
        <v>99</v>
      </c>
      <c r="H119" s="5" t="s">
        <v>27</v>
      </c>
      <c r="I119" s="5"/>
      <c r="J119" s="5" t="s">
        <v>103</v>
      </c>
      <c r="K119" s="5"/>
      <c r="L119" s="5" t="s">
        <v>101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</row>
    <row r="120" spans="1:32" hidden="1" x14ac:dyDescent="0.2">
      <c r="A120">
        <v>3122</v>
      </c>
      <c r="B120">
        <v>2148</v>
      </c>
      <c r="C120">
        <v>1</v>
      </c>
      <c r="D120">
        <v>11</v>
      </c>
      <c r="E120" s="5" t="s">
        <v>108</v>
      </c>
      <c r="F120" s="5" t="s">
        <v>3</v>
      </c>
      <c r="G120" s="5" t="s">
        <v>99</v>
      </c>
      <c r="H120" s="5" t="s">
        <v>28</v>
      </c>
      <c r="I120" s="5"/>
      <c r="J120" s="5" t="s">
        <v>100</v>
      </c>
      <c r="K120" s="5"/>
      <c r="L120" s="5" t="s">
        <v>101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</row>
    <row r="121" spans="1:32" hidden="1" x14ac:dyDescent="0.2">
      <c r="A121">
        <v>3122</v>
      </c>
      <c r="B121">
        <v>1593</v>
      </c>
      <c r="C121">
        <v>1</v>
      </c>
      <c r="D121">
        <v>11</v>
      </c>
      <c r="E121" s="5" t="s">
        <v>108</v>
      </c>
      <c r="F121" s="5" t="s">
        <v>102</v>
      </c>
      <c r="G121" s="5" t="s">
        <v>99</v>
      </c>
      <c r="H121" s="5" t="s">
        <v>28</v>
      </c>
      <c r="I121" s="5"/>
      <c r="J121" s="5" t="s">
        <v>103</v>
      </c>
      <c r="K121" s="5"/>
      <c r="L121" s="5" t="s">
        <v>101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</row>
    <row r="122" spans="1:32" hidden="1" x14ac:dyDescent="0.2">
      <c r="A122">
        <v>3122</v>
      </c>
      <c r="B122">
        <v>2148</v>
      </c>
      <c r="C122">
        <v>1</v>
      </c>
      <c r="D122">
        <v>14</v>
      </c>
      <c r="E122" s="5" t="s">
        <v>108</v>
      </c>
      <c r="F122" s="5" t="s">
        <v>3</v>
      </c>
      <c r="G122" s="5" t="s">
        <v>99</v>
      </c>
      <c r="H122" s="5" t="s">
        <v>1</v>
      </c>
      <c r="I122" s="5"/>
      <c r="J122" s="5" t="s">
        <v>100</v>
      </c>
      <c r="K122" s="5"/>
      <c r="L122" s="5" t="s">
        <v>101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</row>
    <row r="123" spans="1:32" hidden="1" x14ac:dyDescent="0.2">
      <c r="A123">
        <v>3122</v>
      </c>
      <c r="B123">
        <v>1593</v>
      </c>
      <c r="C123">
        <v>1</v>
      </c>
      <c r="D123">
        <v>14</v>
      </c>
      <c r="E123" s="5" t="s">
        <v>108</v>
      </c>
      <c r="F123" s="5" t="s">
        <v>102</v>
      </c>
      <c r="G123" s="5" t="s">
        <v>99</v>
      </c>
      <c r="H123" s="5" t="s">
        <v>1</v>
      </c>
      <c r="I123" s="5"/>
      <c r="J123" s="5" t="s">
        <v>103</v>
      </c>
      <c r="K123" s="5"/>
      <c r="L123" s="5" t="s">
        <v>101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</row>
    <row r="124" spans="1:32" hidden="1" x14ac:dyDescent="0.2">
      <c r="A124">
        <v>15247</v>
      </c>
      <c r="B124">
        <v>2148</v>
      </c>
      <c r="C124">
        <v>1</v>
      </c>
      <c r="D124">
        <v>15</v>
      </c>
      <c r="E124" s="5" t="s">
        <v>109</v>
      </c>
      <c r="F124" s="5" t="s">
        <v>3</v>
      </c>
      <c r="G124" s="5" t="s">
        <v>99</v>
      </c>
      <c r="H124" s="5" t="s">
        <v>15</v>
      </c>
      <c r="I124" s="5"/>
      <c r="J124" s="5" t="s">
        <v>100</v>
      </c>
      <c r="K124" s="5"/>
      <c r="L124" s="5" t="s">
        <v>101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</row>
    <row r="125" spans="1:32" hidden="1" x14ac:dyDescent="0.2">
      <c r="A125">
        <v>15247</v>
      </c>
      <c r="B125">
        <v>1593</v>
      </c>
      <c r="C125">
        <v>1</v>
      </c>
      <c r="D125">
        <v>15</v>
      </c>
      <c r="E125" s="5" t="s">
        <v>109</v>
      </c>
      <c r="F125" s="5" t="s">
        <v>102</v>
      </c>
      <c r="G125" s="5" t="s">
        <v>99</v>
      </c>
      <c r="H125" s="5" t="s">
        <v>15</v>
      </c>
      <c r="I125" s="5"/>
      <c r="J125" s="5" t="s">
        <v>103</v>
      </c>
      <c r="K125" s="5"/>
      <c r="L125" s="5" t="s">
        <v>101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</row>
    <row r="126" spans="1:32" hidden="1" x14ac:dyDescent="0.2">
      <c r="A126">
        <v>15247</v>
      </c>
      <c r="B126">
        <v>2148</v>
      </c>
      <c r="C126">
        <v>1</v>
      </c>
      <c r="D126">
        <v>6</v>
      </c>
      <c r="E126" s="5" t="s">
        <v>109</v>
      </c>
      <c r="F126" s="5" t="s">
        <v>3</v>
      </c>
      <c r="G126" s="5" t="s">
        <v>99</v>
      </c>
      <c r="H126" s="5" t="s">
        <v>17</v>
      </c>
      <c r="I126" s="5"/>
      <c r="J126" s="5" t="s">
        <v>100</v>
      </c>
      <c r="K126" s="5"/>
      <c r="L126" s="5" t="s">
        <v>101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</row>
    <row r="127" spans="1:32" hidden="1" x14ac:dyDescent="0.2">
      <c r="A127">
        <v>15247</v>
      </c>
      <c r="B127">
        <v>1593</v>
      </c>
      <c r="C127">
        <v>1</v>
      </c>
      <c r="D127">
        <v>6</v>
      </c>
      <c r="E127" s="5" t="s">
        <v>109</v>
      </c>
      <c r="F127" s="5" t="s">
        <v>102</v>
      </c>
      <c r="G127" s="5" t="s">
        <v>99</v>
      </c>
      <c r="H127" s="5" t="s">
        <v>17</v>
      </c>
      <c r="I127" s="5"/>
      <c r="J127" s="5" t="s">
        <v>103</v>
      </c>
      <c r="K127" s="5"/>
      <c r="L127" s="5" t="s">
        <v>101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</row>
    <row r="128" spans="1:32" hidden="1" x14ac:dyDescent="0.2">
      <c r="A128">
        <v>15247</v>
      </c>
      <c r="B128">
        <v>2148</v>
      </c>
      <c r="C128">
        <v>1</v>
      </c>
      <c r="D128">
        <v>1</v>
      </c>
      <c r="E128" s="5" t="s">
        <v>109</v>
      </c>
      <c r="F128" s="5" t="s">
        <v>3</v>
      </c>
      <c r="G128" s="5" t="s">
        <v>99</v>
      </c>
      <c r="H128" s="5" t="s">
        <v>19</v>
      </c>
      <c r="I128" s="5"/>
      <c r="J128" s="5" t="s">
        <v>100</v>
      </c>
      <c r="K128" s="5"/>
      <c r="L128" s="5" t="s">
        <v>101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</row>
    <row r="129" spans="1:32" x14ac:dyDescent="0.2">
      <c r="A129">
        <v>15247</v>
      </c>
      <c r="B129">
        <v>1593</v>
      </c>
      <c r="C129">
        <v>1</v>
      </c>
      <c r="D129">
        <v>1</v>
      </c>
      <c r="E129" s="5" t="s">
        <v>109</v>
      </c>
      <c r="F129" s="5" t="s">
        <v>102</v>
      </c>
      <c r="G129" s="5" t="s">
        <v>99</v>
      </c>
      <c r="H129" s="5" t="s">
        <v>19</v>
      </c>
      <c r="I129" s="5"/>
      <c r="J129" s="5" t="s">
        <v>103</v>
      </c>
      <c r="K129" s="5"/>
      <c r="L129" s="5" t="s">
        <v>101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</row>
    <row r="130" spans="1:32" hidden="1" x14ac:dyDescent="0.2">
      <c r="A130">
        <v>15247</v>
      </c>
      <c r="B130">
        <v>2148</v>
      </c>
      <c r="C130">
        <v>1</v>
      </c>
      <c r="D130">
        <v>13</v>
      </c>
      <c r="E130" s="5" t="s">
        <v>109</v>
      </c>
      <c r="F130" s="5" t="s">
        <v>3</v>
      </c>
      <c r="G130" s="5" t="s">
        <v>99</v>
      </c>
      <c r="H130" s="5" t="s">
        <v>20</v>
      </c>
      <c r="I130" s="5"/>
      <c r="J130" s="5" t="s">
        <v>100</v>
      </c>
      <c r="K130" s="5"/>
      <c r="L130" s="5" t="s">
        <v>101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</row>
    <row r="131" spans="1:32" hidden="1" x14ac:dyDescent="0.2">
      <c r="A131">
        <v>15247</v>
      </c>
      <c r="B131">
        <v>1593</v>
      </c>
      <c r="C131">
        <v>1</v>
      </c>
      <c r="D131">
        <v>13</v>
      </c>
      <c r="E131" s="5" t="s">
        <v>109</v>
      </c>
      <c r="F131" s="5" t="s">
        <v>102</v>
      </c>
      <c r="G131" s="5" t="s">
        <v>99</v>
      </c>
      <c r="H131" s="5" t="s">
        <v>20</v>
      </c>
      <c r="I131" s="5"/>
      <c r="J131" s="5" t="s">
        <v>103</v>
      </c>
      <c r="K131" s="5"/>
      <c r="L131" s="5" t="s">
        <v>101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</row>
    <row r="132" spans="1:32" hidden="1" x14ac:dyDescent="0.2">
      <c r="A132">
        <v>15247</v>
      </c>
      <c r="B132">
        <v>2148</v>
      </c>
      <c r="C132">
        <v>1</v>
      </c>
      <c r="D132">
        <v>17</v>
      </c>
      <c r="E132" s="5" t="s">
        <v>109</v>
      </c>
      <c r="F132" s="5" t="s">
        <v>3</v>
      </c>
      <c r="G132" s="5" t="s">
        <v>99</v>
      </c>
      <c r="H132" s="5" t="s">
        <v>22</v>
      </c>
      <c r="I132" s="5"/>
      <c r="J132" s="5" t="s">
        <v>100</v>
      </c>
      <c r="K132" s="5"/>
      <c r="L132" s="5" t="s">
        <v>101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</row>
    <row r="133" spans="1:32" hidden="1" x14ac:dyDescent="0.2">
      <c r="A133">
        <v>15247</v>
      </c>
      <c r="B133">
        <v>1593</v>
      </c>
      <c r="C133">
        <v>1</v>
      </c>
      <c r="D133">
        <v>17</v>
      </c>
      <c r="E133" s="5" t="s">
        <v>109</v>
      </c>
      <c r="F133" s="5" t="s">
        <v>102</v>
      </c>
      <c r="G133" s="5" t="s">
        <v>99</v>
      </c>
      <c r="H133" s="5" t="s">
        <v>22</v>
      </c>
      <c r="I133" s="5"/>
      <c r="J133" s="5" t="s">
        <v>103</v>
      </c>
      <c r="K133" s="5"/>
      <c r="L133" s="5" t="s">
        <v>101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</row>
    <row r="134" spans="1:32" hidden="1" x14ac:dyDescent="0.2">
      <c r="A134">
        <v>15247</v>
      </c>
      <c r="B134">
        <v>2148</v>
      </c>
      <c r="C134">
        <v>1</v>
      </c>
      <c r="D134">
        <v>12</v>
      </c>
      <c r="E134" s="5" t="s">
        <v>109</v>
      </c>
      <c r="F134" s="5" t="s">
        <v>3</v>
      </c>
      <c r="G134" s="5" t="s">
        <v>99</v>
      </c>
      <c r="H134" s="5" t="s">
        <v>23</v>
      </c>
      <c r="I134" s="5"/>
      <c r="J134" s="5" t="s">
        <v>100</v>
      </c>
      <c r="K134" s="5"/>
      <c r="L134" s="5" t="s">
        <v>101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</row>
    <row r="135" spans="1:32" hidden="1" x14ac:dyDescent="0.2">
      <c r="A135">
        <v>15247</v>
      </c>
      <c r="B135">
        <v>1593</v>
      </c>
      <c r="C135">
        <v>1</v>
      </c>
      <c r="D135">
        <v>12</v>
      </c>
      <c r="E135" s="5" t="s">
        <v>109</v>
      </c>
      <c r="F135" s="5" t="s">
        <v>102</v>
      </c>
      <c r="G135" s="5" t="s">
        <v>99</v>
      </c>
      <c r="H135" s="5" t="s">
        <v>23</v>
      </c>
      <c r="I135" s="5"/>
      <c r="J135" s="5" t="s">
        <v>103</v>
      </c>
      <c r="K135" s="5"/>
      <c r="L135" s="5" t="s">
        <v>101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</row>
    <row r="136" spans="1:32" hidden="1" x14ac:dyDescent="0.2">
      <c r="A136">
        <v>15247</v>
      </c>
      <c r="B136">
        <v>2148</v>
      </c>
      <c r="C136">
        <v>1</v>
      </c>
      <c r="D136">
        <v>19</v>
      </c>
      <c r="E136" s="5" t="s">
        <v>109</v>
      </c>
      <c r="F136" s="5" t="s">
        <v>3</v>
      </c>
      <c r="G136" s="5" t="s">
        <v>99</v>
      </c>
      <c r="H136" s="5" t="s">
        <v>25</v>
      </c>
      <c r="I136" s="5"/>
      <c r="J136" s="5" t="s">
        <v>100</v>
      </c>
      <c r="K136" s="5"/>
      <c r="L136" s="5" t="s">
        <v>101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</row>
    <row r="137" spans="1:32" hidden="1" x14ac:dyDescent="0.2">
      <c r="A137">
        <v>15247</v>
      </c>
      <c r="B137">
        <v>1593</v>
      </c>
      <c r="C137">
        <v>1</v>
      </c>
      <c r="D137">
        <v>19</v>
      </c>
      <c r="E137" s="5" t="s">
        <v>109</v>
      </c>
      <c r="F137" s="5" t="s">
        <v>102</v>
      </c>
      <c r="G137" s="5" t="s">
        <v>99</v>
      </c>
      <c r="H137" s="5" t="s">
        <v>25</v>
      </c>
      <c r="I137" s="5"/>
      <c r="J137" s="5" t="s">
        <v>103</v>
      </c>
      <c r="K137" s="5"/>
      <c r="L137" s="5" t="s">
        <v>101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</row>
    <row r="138" spans="1:32" hidden="1" x14ac:dyDescent="0.2">
      <c r="A138">
        <v>15247</v>
      </c>
      <c r="B138">
        <v>2148</v>
      </c>
      <c r="C138">
        <v>1</v>
      </c>
      <c r="D138">
        <v>16</v>
      </c>
      <c r="E138" s="5" t="s">
        <v>109</v>
      </c>
      <c r="F138" s="5" t="s">
        <v>3</v>
      </c>
      <c r="G138" s="5" t="s">
        <v>99</v>
      </c>
      <c r="H138" s="5" t="s">
        <v>27</v>
      </c>
      <c r="I138" s="5"/>
      <c r="J138" s="5" t="s">
        <v>100</v>
      </c>
      <c r="K138" s="5"/>
      <c r="L138" s="5" t="s">
        <v>101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</row>
    <row r="139" spans="1:32" hidden="1" x14ac:dyDescent="0.2">
      <c r="A139">
        <v>15247</v>
      </c>
      <c r="B139">
        <v>1593</v>
      </c>
      <c r="C139">
        <v>1</v>
      </c>
      <c r="D139">
        <v>16</v>
      </c>
      <c r="E139" s="5" t="s">
        <v>109</v>
      </c>
      <c r="F139" s="5" t="s">
        <v>102</v>
      </c>
      <c r="G139" s="5" t="s">
        <v>99</v>
      </c>
      <c r="H139" s="5" t="s">
        <v>27</v>
      </c>
      <c r="I139" s="5"/>
      <c r="J139" s="5" t="s">
        <v>103</v>
      </c>
      <c r="K139" s="5"/>
      <c r="L139" s="5" t="s">
        <v>101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</row>
    <row r="140" spans="1:32" hidden="1" x14ac:dyDescent="0.2">
      <c r="A140">
        <v>15247</v>
      </c>
      <c r="B140">
        <v>2148</v>
      </c>
      <c r="C140">
        <v>1</v>
      </c>
      <c r="D140">
        <v>11</v>
      </c>
      <c r="E140" s="5" t="s">
        <v>109</v>
      </c>
      <c r="F140" s="5" t="s">
        <v>3</v>
      </c>
      <c r="G140" s="5" t="s">
        <v>99</v>
      </c>
      <c r="H140" s="5" t="s">
        <v>28</v>
      </c>
      <c r="I140" s="5"/>
      <c r="J140" s="5" t="s">
        <v>100</v>
      </c>
      <c r="K140" s="5"/>
      <c r="L140" s="5" t="s">
        <v>101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</row>
    <row r="141" spans="1:32" hidden="1" x14ac:dyDescent="0.2">
      <c r="A141">
        <v>15247</v>
      </c>
      <c r="B141">
        <v>1593</v>
      </c>
      <c r="C141">
        <v>1</v>
      </c>
      <c r="D141">
        <v>11</v>
      </c>
      <c r="E141" s="5" t="s">
        <v>109</v>
      </c>
      <c r="F141" s="5" t="s">
        <v>102</v>
      </c>
      <c r="G141" s="5" t="s">
        <v>99</v>
      </c>
      <c r="H141" s="5" t="s">
        <v>28</v>
      </c>
      <c r="I141" s="5"/>
      <c r="J141" s="5" t="s">
        <v>103</v>
      </c>
      <c r="K141" s="5"/>
      <c r="L141" s="5" t="s">
        <v>101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</row>
    <row r="142" spans="1:32" hidden="1" x14ac:dyDescent="0.2">
      <c r="A142">
        <v>15247</v>
      </c>
      <c r="B142">
        <v>2148</v>
      </c>
      <c r="C142">
        <v>1</v>
      </c>
      <c r="D142">
        <v>14</v>
      </c>
      <c r="E142" s="5" t="s">
        <v>109</v>
      </c>
      <c r="F142" s="5" t="s">
        <v>3</v>
      </c>
      <c r="G142" s="5" t="s">
        <v>99</v>
      </c>
      <c r="H142" s="5" t="s">
        <v>1</v>
      </c>
      <c r="I142" s="5"/>
      <c r="J142" s="5" t="s">
        <v>100</v>
      </c>
      <c r="K142" s="5"/>
      <c r="L142" s="5" t="s">
        <v>101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</row>
    <row r="143" spans="1:32" hidden="1" x14ac:dyDescent="0.2">
      <c r="A143">
        <v>15247</v>
      </c>
      <c r="B143">
        <v>1593</v>
      </c>
      <c r="C143">
        <v>1</v>
      </c>
      <c r="D143">
        <v>14</v>
      </c>
      <c r="E143" s="5" t="s">
        <v>109</v>
      </c>
      <c r="F143" s="5" t="s">
        <v>102</v>
      </c>
      <c r="G143" s="5" t="s">
        <v>99</v>
      </c>
      <c r="H143" s="5" t="s">
        <v>1</v>
      </c>
      <c r="I143" s="5"/>
      <c r="J143" s="5" t="s">
        <v>103</v>
      </c>
      <c r="K143" s="5"/>
      <c r="L143" s="5" t="s">
        <v>101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</row>
    <row r="144" spans="1:32" hidden="1" x14ac:dyDescent="0.2">
      <c r="A144">
        <v>2776</v>
      </c>
      <c r="B144">
        <v>2148</v>
      </c>
      <c r="C144">
        <v>1</v>
      </c>
      <c r="D144">
        <v>15</v>
      </c>
      <c r="E144" s="5" t="s">
        <v>110</v>
      </c>
      <c r="F144" s="5" t="s">
        <v>3</v>
      </c>
      <c r="G144" s="5" t="s">
        <v>99</v>
      </c>
      <c r="H144" s="5" t="s">
        <v>15</v>
      </c>
      <c r="I144" s="5"/>
      <c r="J144" s="5" t="s">
        <v>100</v>
      </c>
      <c r="K144" s="5"/>
      <c r="L144" s="5" t="s">
        <v>101</v>
      </c>
      <c r="M144" s="5">
        <v>28.6</v>
      </c>
      <c r="N144" s="5">
        <v>30.6</v>
      </c>
      <c r="O144" s="5">
        <v>32.799999999999997</v>
      </c>
      <c r="P144" s="5">
        <v>33.299999999999997</v>
      </c>
      <c r="Q144" s="5">
        <v>36.6</v>
      </c>
      <c r="R144" s="5">
        <v>37.9</v>
      </c>
      <c r="S144" s="5">
        <v>37.4</v>
      </c>
      <c r="T144" s="5">
        <v>37.799999999999997</v>
      </c>
      <c r="U144" s="5">
        <v>38.1</v>
      </c>
      <c r="V144" s="5">
        <v>39.6</v>
      </c>
      <c r="W144" s="5">
        <v>42.4</v>
      </c>
      <c r="X144" s="5">
        <v>45.2</v>
      </c>
      <c r="Y144" s="5">
        <v>45.5</v>
      </c>
      <c r="Z144" s="5">
        <v>46.9</v>
      </c>
      <c r="AA144" s="5">
        <v>48.9</v>
      </c>
      <c r="AB144" s="5">
        <v>39.9</v>
      </c>
      <c r="AC144" s="5">
        <v>36.4</v>
      </c>
      <c r="AD144" s="5">
        <v>45.8</v>
      </c>
      <c r="AE144" s="5">
        <v>41.7</v>
      </c>
      <c r="AF144" s="5">
        <v>42.5</v>
      </c>
    </row>
    <row r="145" spans="1:32" hidden="1" x14ac:dyDescent="0.2">
      <c r="A145">
        <v>2776</v>
      </c>
      <c r="B145">
        <v>1593</v>
      </c>
      <c r="C145">
        <v>1</v>
      </c>
      <c r="D145">
        <v>15</v>
      </c>
      <c r="E145" s="5" t="s">
        <v>110</v>
      </c>
      <c r="F145" s="5" t="s">
        <v>102</v>
      </c>
      <c r="G145" s="5" t="s">
        <v>99</v>
      </c>
      <c r="H145" s="5" t="s">
        <v>15</v>
      </c>
      <c r="I145" s="5"/>
      <c r="J145" s="5" t="s">
        <v>103</v>
      </c>
      <c r="K145" s="5"/>
      <c r="L145" s="5" t="s">
        <v>101</v>
      </c>
      <c r="M145" s="5">
        <v>13.5</v>
      </c>
      <c r="N145" s="5">
        <v>13.5</v>
      </c>
      <c r="O145" s="5">
        <v>13.5</v>
      </c>
      <c r="P145" s="5">
        <v>13.5</v>
      </c>
      <c r="Q145" s="5">
        <v>13.5</v>
      </c>
      <c r="R145" s="5">
        <v>15</v>
      </c>
      <c r="S145" s="5">
        <v>14</v>
      </c>
      <c r="T145" s="5">
        <v>14</v>
      </c>
      <c r="U145" s="5">
        <v>14</v>
      </c>
      <c r="V145" s="5">
        <v>14</v>
      </c>
      <c r="W145" s="5">
        <v>12</v>
      </c>
      <c r="X145" s="5">
        <v>12</v>
      </c>
      <c r="Y145" s="5">
        <v>12</v>
      </c>
      <c r="Z145" s="5">
        <v>12</v>
      </c>
      <c r="AA145" s="5">
        <v>12</v>
      </c>
      <c r="AB145" s="5">
        <v>12</v>
      </c>
      <c r="AC145" s="5">
        <v>15</v>
      </c>
      <c r="AD145" s="5">
        <v>15</v>
      </c>
      <c r="AE145" s="5">
        <v>15</v>
      </c>
      <c r="AF145" s="5">
        <v>15</v>
      </c>
    </row>
    <row r="146" spans="1:32" hidden="1" x14ac:dyDescent="0.2">
      <c r="A146">
        <v>2776</v>
      </c>
      <c r="B146">
        <v>2148</v>
      </c>
      <c r="C146">
        <v>1</v>
      </c>
      <c r="D146">
        <v>6</v>
      </c>
      <c r="E146" s="5" t="s">
        <v>110</v>
      </c>
      <c r="F146" s="5" t="s">
        <v>3</v>
      </c>
      <c r="G146" s="5" t="s">
        <v>99</v>
      </c>
      <c r="H146" s="5" t="s">
        <v>17</v>
      </c>
      <c r="I146" s="5"/>
      <c r="J146" s="5" t="s">
        <v>100</v>
      </c>
      <c r="K146" s="5"/>
      <c r="L146" s="5" t="s">
        <v>101</v>
      </c>
      <c r="M146" s="5">
        <v>21</v>
      </c>
      <c r="N146" s="5">
        <v>24</v>
      </c>
      <c r="O146" s="5">
        <v>36</v>
      </c>
      <c r="P146" s="5">
        <v>38</v>
      </c>
      <c r="Q146" s="5">
        <v>42</v>
      </c>
      <c r="R146" s="5">
        <v>41</v>
      </c>
      <c r="S146" s="5">
        <v>38</v>
      </c>
      <c r="T146" s="5">
        <v>40</v>
      </c>
      <c r="U146" s="5">
        <v>28</v>
      </c>
      <c r="V146" s="5">
        <v>28</v>
      </c>
      <c r="W146" s="5">
        <v>94</v>
      </c>
      <c r="X146" s="5">
        <v>16</v>
      </c>
      <c r="Y146" s="5">
        <v>10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</row>
    <row r="147" spans="1:32" hidden="1" x14ac:dyDescent="0.2">
      <c r="A147">
        <v>2776</v>
      </c>
      <c r="B147">
        <v>1593</v>
      </c>
      <c r="C147">
        <v>1</v>
      </c>
      <c r="D147">
        <v>6</v>
      </c>
      <c r="E147" s="5" t="s">
        <v>110</v>
      </c>
      <c r="F147" s="5" t="s">
        <v>102</v>
      </c>
      <c r="G147" s="5" t="s">
        <v>99</v>
      </c>
      <c r="H147" s="5" t="s">
        <v>17</v>
      </c>
      <c r="I147" s="5"/>
      <c r="J147" s="5" t="s">
        <v>103</v>
      </c>
      <c r="K147" s="5"/>
      <c r="L147" s="5" t="s">
        <v>101</v>
      </c>
      <c r="M147" s="5">
        <v>20</v>
      </c>
      <c r="N147" s="5">
        <v>20</v>
      </c>
      <c r="O147" s="5">
        <v>35</v>
      </c>
      <c r="P147" s="5">
        <v>43</v>
      </c>
      <c r="Q147" s="5">
        <v>38</v>
      </c>
      <c r="R147" s="5">
        <v>39</v>
      </c>
      <c r="S147" s="5">
        <v>57</v>
      </c>
      <c r="T147" s="5">
        <v>54</v>
      </c>
      <c r="U147" s="5">
        <v>59</v>
      </c>
      <c r="V147" s="5">
        <v>34</v>
      </c>
      <c r="W147" s="5">
        <v>40</v>
      </c>
      <c r="X147" s="5">
        <v>40</v>
      </c>
      <c r="Y147" s="5">
        <v>13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</row>
    <row r="148" spans="1:32" hidden="1" x14ac:dyDescent="0.2">
      <c r="A148">
        <v>2776</v>
      </c>
      <c r="B148">
        <v>2148</v>
      </c>
      <c r="C148">
        <v>1</v>
      </c>
      <c r="D148">
        <v>1</v>
      </c>
      <c r="E148" s="5" t="s">
        <v>110</v>
      </c>
      <c r="F148" s="5" t="s">
        <v>3</v>
      </c>
      <c r="G148" s="5" t="s">
        <v>99</v>
      </c>
      <c r="H148" s="5" t="s">
        <v>19</v>
      </c>
      <c r="I148" s="5"/>
      <c r="J148" s="5" t="s">
        <v>100</v>
      </c>
      <c r="K148" s="5"/>
      <c r="L148" s="5" t="s">
        <v>101</v>
      </c>
      <c r="M148" s="5">
        <v>9117</v>
      </c>
      <c r="N148" s="5">
        <v>9173</v>
      </c>
      <c r="O148" s="5">
        <v>8961</v>
      </c>
      <c r="P148" s="5">
        <v>10640</v>
      </c>
      <c r="Q148" s="5">
        <v>10825</v>
      </c>
      <c r="R148" s="5">
        <v>12294</v>
      </c>
      <c r="S148" s="5">
        <v>16475</v>
      </c>
      <c r="T148" s="5">
        <v>19192</v>
      </c>
      <c r="U148" s="5">
        <v>19307</v>
      </c>
      <c r="V148" s="5">
        <v>22280</v>
      </c>
      <c r="W148" s="5">
        <v>19492</v>
      </c>
      <c r="X148" s="5">
        <v>19708</v>
      </c>
      <c r="Y148" s="5">
        <v>18563</v>
      </c>
      <c r="Z148" s="5">
        <v>17429</v>
      </c>
      <c r="AA148" s="5">
        <v>10456</v>
      </c>
      <c r="AB148" s="5">
        <v>6730</v>
      </c>
      <c r="AC148" s="5">
        <v>6423</v>
      </c>
      <c r="AD148" s="5">
        <v>6080</v>
      </c>
      <c r="AE148" s="5">
        <v>6482</v>
      </c>
      <c r="AF148" s="5">
        <v>7037</v>
      </c>
    </row>
    <row r="149" spans="1:32" x14ac:dyDescent="0.2">
      <c r="A149">
        <v>2776</v>
      </c>
      <c r="B149">
        <v>1593</v>
      </c>
      <c r="C149">
        <v>1</v>
      </c>
      <c r="D149">
        <v>1</v>
      </c>
      <c r="E149" s="5" t="s">
        <v>110</v>
      </c>
      <c r="F149" s="5" t="s">
        <v>102</v>
      </c>
      <c r="G149" s="5" t="s">
        <v>99</v>
      </c>
      <c r="H149" s="5" t="s">
        <v>19</v>
      </c>
      <c r="I149" s="5"/>
      <c r="J149" s="5" t="s">
        <v>103</v>
      </c>
      <c r="K149" s="5"/>
      <c r="L149" s="5" t="s">
        <v>101</v>
      </c>
      <c r="M149" s="5">
        <v>3208.08</v>
      </c>
      <c r="N149" s="5">
        <v>3165.05</v>
      </c>
      <c r="O149" s="5">
        <v>3211.91</v>
      </c>
      <c r="P149" s="5">
        <v>3272.98</v>
      </c>
      <c r="Q149" s="5">
        <v>3256.36</v>
      </c>
      <c r="R149" s="5">
        <v>4569.8900000000003</v>
      </c>
      <c r="S149" s="5">
        <v>5471.93</v>
      </c>
      <c r="T149" s="5">
        <v>5973.58</v>
      </c>
      <c r="U149" s="5">
        <v>5935</v>
      </c>
      <c r="V149" s="5">
        <v>6206.99</v>
      </c>
      <c r="W149" s="5">
        <v>6274.79</v>
      </c>
      <c r="X149" s="5">
        <v>6274.79</v>
      </c>
      <c r="Y149" s="5">
        <v>6278.79</v>
      </c>
      <c r="Z149" s="5">
        <v>4630.8999999999996</v>
      </c>
      <c r="AA149" s="5">
        <v>4779.68</v>
      </c>
      <c r="AB149" s="5">
        <v>4863.53</v>
      </c>
      <c r="AC149" s="5">
        <v>4986.58</v>
      </c>
      <c r="AD149" s="5">
        <v>4352.09</v>
      </c>
      <c r="AE149" s="5">
        <v>4638.3100000000004</v>
      </c>
      <c r="AF149" s="5">
        <v>5819.28</v>
      </c>
    </row>
    <row r="150" spans="1:32" hidden="1" x14ac:dyDescent="0.2">
      <c r="A150">
        <v>2776</v>
      </c>
      <c r="B150">
        <v>2148</v>
      </c>
      <c r="C150">
        <v>1</v>
      </c>
      <c r="D150">
        <v>13</v>
      </c>
      <c r="E150" s="5" t="s">
        <v>110</v>
      </c>
      <c r="F150" s="5" t="s">
        <v>3</v>
      </c>
      <c r="G150" s="5" t="s">
        <v>99</v>
      </c>
      <c r="H150" s="5" t="s">
        <v>20</v>
      </c>
      <c r="I150" s="5"/>
      <c r="J150" s="5" t="s">
        <v>100</v>
      </c>
      <c r="K150" s="5"/>
      <c r="L150" s="5" t="s">
        <v>101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</row>
    <row r="151" spans="1:32" hidden="1" x14ac:dyDescent="0.2">
      <c r="A151">
        <v>2776</v>
      </c>
      <c r="B151">
        <v>1593</v>
      </c>
      <c r="C151">
        <v>1</v>
      </c>
      <c r="D151">
        <v>13</v>
      </c>
      <c r="E151" s="5" t="s">
        <v>110</v>
      </c>
      <c r="F151" s="5" t="s">
        <v>102</v>
      </c>
      <c r="G151" s="5" t="s">
        <v>99</v>
      </c>
      <c r="H151" s="5" t="s">
        <v>20</v>
      </c>
      <c r="I151" s="5"/>
      <c r="J151" s="5" t="s">
        <v>103</v>
      </c>
      <c r="K151" s="5"/>
      <c r="L151" s="5" t="s">
        <v>101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</row>
    <row r="152" spans="1:32" hidden="1" x14ac:dyDescent="0.2">
      <c r="A152">
        <v>2776</v>
      </c>
      <c r="B152">
        <v>2148</v>
      </c>
      <c r="C152">
        <v>1</v>
      </c>
      <c r="D152">
        <v>17</v>
      </c>
      <c r="E152" s="5" t="s">
        <v>110</v>
      </c>
      <c r="F152" s="5" t="s">
        <v>3</v>
      </c>
      <c r="G152" s="5" t="s">
        <v>99</v>
      </c>
      <c r="H152" s="5" t="s">
        <v>22</v>
      </c>
      <c r="I152" s="5"/>
      <c r="J152" s="5" t="s">
        <v>100</v>
      </c>
      <c r="K152" s="5"/>
      <c r="L152" s="5" t="s">
        <v>101</v>
      </c>
      <c r="M152" s="5">
        <v>1396</v>
      </c>
      <c r="N152" s="5">
        <v>1908</v>
      </c>
      <c r="O152" s="5">
        <v>1768</v>
      </c>
      <c r="P152" s="5">
        <v>1649</v>
      </c>
      <c r="Q152" s="5">
        <v>1726</v>
      </c>
      <c r="R152" s="5">
        <v>1659</v>
      </c>
      <c r="S152" s="5">
        <v>9403</v>
      </c>
      <c r="T152" s="5">
        <v>6014</v>
      </c>
      <c r="U152" s="5">
        <v>5339</v>
      </c>
      <c r="V152" s="5">
        <v>3490</v>
      </c>
      <c r="W152" s="5">
        <v>1739</v>
      </c>
      <c r="X152" s="5">
        <v>1184</v>
      </c>
      <c r="Y152" s="5">
        <v>1695</v>
      </c>
      <c r="Z152" s="5">
        <v>929</v>
      </c>
      <c r="AA152" s="5">
        <v>1010</v>
      </c>
      <c r="AB152" s="5">
        <v>845.96</v>
      </c>
      <c r="AC152" s="5">
        <v>975.22</v>
      </c>
      <c r="AD152" s="5">
        <v>2803</v>
      </c>
      <c r="AE152" s="5">
        <v>2752</v>
      </c>
      <c r="AF152" s="5">
        <v>1238</v>
      </c>
    </row>
    <row r="153" spans="1:32" hidden="1" x14ac:dyDescent="0.2">
      <c r="A153">
        <v>2776</v>
      </c>
      <c r="B153">
        <v>1593</v>
      </c>
      <c r="C153">
        <v>1</v>
      </c>
      <c r="D153">
        <v>17</v>
      </c>
      <c r="E153" s="5" t="s">
        <v>110</v>
      </c>
      <c r="F153" s="5" t="s">
        <v>102</v>
      </c>
      <c r="G153" s="5" t="s">
        <v>99</v>
      </c>
      <c r="H153" s="5" t="s">
        <v>22</v>
      </c>
      <c r="I153" s="5"/>
      <c r="J153" s="5" t="s">
        <v>103</v>
      </c>
      <c r="K153" s="5"/>
      <c r="L153" s="5" t="s">
        <v>101</v>
      </c>
      <c r="M153" s="5">
        <v>818</v>
      </c>
      <c r="N153" s="5">
        <v>623</v>
      </c>
      <c r="O153" s="5">
        <v>603</v>
      </c>
      <c r="P153" s="5">
        <v>594</v>
      </c>
      <c r="Q153" s="5">
        <v>659</v>
      </c>
      <c r="R153" s="5">
        <v>702</v>
      </c>
      <c r="S153" s="5">
        <v>2323</v>
      </c>
      <c r="T153" s="5">
        <v>1768</v>
      </c>
      <c r="U153" s="5">
        <v>1871</v>
      </c>
      <c r="V153" s="5">
        <v>1315.3</v>
      </c>
      <c r="W153" s="5">
        <v>1466.5</v>
      </c>
      <c r="X153" s="5">
        <v>2090.3000000000002</v>
      </c>
      <c r="Y153" s="5">
        <v>1406.37</v>
      </c>
      <c r="Z153" s="5">
        <v>812.5</v>
      </c>
      <c r="AA153" s="5">
        <v>813</v>
      </c>
      <c r="AB153" s="5">
        <v>538.35</v>
      </c>
      <c r="AC153" s="5">
        <v>351.6</v>
      </c>
      <c r="AD153" s="5">
        <v>595.92999999999995</v>
      </c>
      <c r="AE153" s="5">
        <v>617.12</v>
      </c>
      <c r="AF153" s="5">
        <v>648.66999999999996</v>
      </c>
    </row>
    <row r="154" spans="1:32" hidden="1" x14ac:dyDescent="0.2">
      <c r="A154">
        <v>2776</v>
      </c>
      <c r="B154">
        <v>2148</v>
      </c>
      <c r="C154">
        <v>1</v>
      </c>
      <c r="D154">
        <v>12</v>
      </c>
      <c r="E154" s="5" t="s">
        <v>110</v>
      </c>
      <c r="F154" s="5" t="s">
        <v>3</v>
      </c>
      <c r="G154" s="5" t="s">
        <v>99</v>
      </c>
      <c r="H154" s="5" t="s">
        <v>23</v>
      </c>
      <c r="I154" s="5"/>
      <c r="J154" s="5" t="s">
        <v>100</v>
      </c>
      <c r="K154" s="5"/>
      <c r="L154" s="5" t="s">
        <v>101</v>
      </c>
      <c r="M154" s="5">
        <v>32.24</v>
      </c>
      <c r="N154" s="5">
        <v>27.14</v>
      </c>
      <c r="O154" s="5">
        <v>31.73</v>
      </c>
      <c r="P154" s="5">
        <v>37.119999999999997</v>
      </c>
      <c r="Q154" s="5">
        <v>27.83</v>
      </c>
      <c r="R154" s="5">
        <v>31.17</v>
      </c>
      <c r="S154" s="5">
        <v>36.65</v>
      </c>
      <c r="T154" s="5">
        <v>47.51</v>
      </c>
      <c r="U154" s="5">
        <v>57.61</v>
      </c>
      <c r="V154" s="5">
        <v>62.65</v>
      </c>
      <c r="W154" s="5">
        <v>53.57</v>
      </c>
      <c r="X154" s="5">
        <v>59.84</v>
      </c>
      <c r="Y154" s="5">
        <v>67.540000000000006</v>
      </c>
      <c r="Z154" s="5">
        <v>82.7</v>
      </c>
      <c r="AA154" s="5">
        <v>136.11000000000001</v>
      </c>
      <c r="AB154" s="5">
        <v>176.39</v>
      </c>
      <c r="AC154" s="5">
        <v>59</v>
      </c>
      <c r="AD154" s="5">
        <v>100.98</v>
      </c>
      <c r="AE154" s="5">
        <v>98.07</v>
      </c>
      <c r="AF154" s="5">
        <v>95.15</v>
      </c>
    </row>
    <row r="155" spans="1:32" hidden="1" x14ac:dyDescent="0.2">
      <c r="A155">
        <v>2776</v>
      </c>
      <c r="B155">
        <v>1593</v>
      </c>
      <c r="C155">
        <v>1</v>
      </c>
      <c r="D155">
        <v>12</v>
      </c>
      <c r="E155" s="5" t="s">
        <v>110</v>
      </c>
      <c r="F155" s="5" t="s">
        <v>102</v>
      </c>
      <c r="G155" s="5" t="s">
        <v>99</v>
      </c>
      <c r="H155" s="5" t="s">
        <v>23</v>
      </c>
      <c r="I155" s="5"/>
      <c r="J155" s="5" t="s">
        <v>103</v>
      </c>
      <c r="K155" s="5"/>
      <c r="L155" s="5" t="s">
        <v>101</v>
      </c>
      <c r="M155" s="5">
        <v>68</v>
      </c>
      <c r="N155" s="5">
        <v>70</v>
      </c>
      <c r="O155" s="5">
        <v>70</v>
      </c>
      <c r="P155" s="5">
        <v>57</v>
      </c>
      <c r="Q155" s="5">
        <v>55</v>
      </c>
      <c r="R155" s="5">
        <v>63.02</v>
      </c>
      <c r="S155" s="5">
        <v>63.02</v>
      </c>
      <c r="T155" s="5">
        <v>78</v>
      </c>
      <c r="U155" s="5">
        <v>85.14</v>
      </c>
      <c r="V155" s="5">
        <v>89.2</v>
      </c>
      <c r="W155" s="5">
        <v>94.98</v>
      </c>
      <c r="X155" s="5">
        <v>94.3</v>
      </c>
      <c r="Y155" s="5">
        <v>91.9</v>
      </c>
      <c r="Z155" s="5">
        <v>25</v>
      </c>
      <c r="AA155" s="5">
        <v>25</v>
      </c>
      <c r="AB155" s="5">
        <v>116</v>
      </c>
      <c r="AC155" s="5">
        <v>116.74</v>
      </c>
      <c r="AD155" s="5">
        <v>180.74</v>
      </c>
      <c r="AE155" s="5">
        <v>180.74</v>
      </c>
      <c r="AF155" s="5">
        <v>180.74</v>
      </c>
    </row>
    <row r="156" spans="1:32" hidden="1" x14ac:dyDescent="0.2">
      <c r="A156">
        <v>2776</v>
      </c>
      <c r="B156">
        <v>2148</v>
      </c>
      <c r="C156">
        <v>1</v>
      </c>
      <c r="D156">
        <v>19</v>
      </c>
      <c r="E156" s="5" t="s">
        <v>110</v>
      </c>
      <c r="F156" s="5" t="s">
        <v>3</v>
      </c>
      <c r="G156" s="5" t="s">
        <v>99</v>
      </c>
      <c r="H156" s="5" t="s">
        <v>25</v>
      </c>
      <c r="I156" s="5"/>
      <c r="J156" s="5" t="s">
        <v>100</v>
      </c>
      <c r="K156" s="5"/>
      <c r="L156" s="5" t="s">
        <v>101</v>
      </c>
      <c r="M156" s="5">
        <v>6141.4</v>
      </c>
      <c r="N156" s="5">
        <v>4664.8</v>
      </c>
      <c r="O156" s="5">
        <v>5148</v>
      </c>
      <c r="P156" s="5">
        <v>4868.3</v>
      </c>
      <c r="Q156" s="5">
        <v>5380.7</v>
      </c>
      <c r="R156" s="5">
        <v>7101</v>
      </c>
      <c r="S156" s="5">
        <v>3397.6</v>
      </c>
      <c r="T156" s="5">
        <v>4254</v>
      </c>
      <c r="U156" s="5">
        <v>4490.6000000000004</v>
      </c>
      <c r="V156" s="5">
        <v>5707.7</v>
      </c>
      <c r="W156" s="5">
        <v>5886.4</v>
      </c>
      <c r="X156" s="5">
        <v>5661.4</v>
      </c>
      <c r="Y156" s="5">
        <v>3787.1</v>
      </c>
      <c r="Z156" s="5">
        <v>3172.82</v>
      </c>
      <c r="AA156" s="5">
        <v>3752.3</v>
      </c>
      <c r="AB156" s="5">
        <v>2473.89</v>
      </c>
      <c r="AC156" s="5">
        <v>1616.38</v>
      </c>
      <c r="AD156" s="5">
        <v>2518.5</v>
      </c>
      <c r="AE156" s="5">
        <v>1303.6400000000001</v>
      </c>
      <c r="AF156" s="5">
        <v>1341.66</v>
      </c>
    </row>
    <row r="157" spans="1:32" hidden="1" x14ac:dyDescent="0.2">
      <c r="A157">
        <v>2776</v>
      </c>
      <c r="B157">
        <v>1593</v>
      </c>
      <c r="C157">
        <v>1</v>
      </c>
      <c r="D157">
        <v>19</v>
      </c>
      <c r="E157" s="5" t="s">
        <v>110</v>
      </c>
      <c r="F157" s="5" t="s">
        <v>102</v>
      </c>
      <c r="G157" s="5" t="s">
        <v>99</v>
      </c>
      <c r="H157" s="5" t="s">
        <v>25</v>
      </c>
      <c r="I157" s="5"/>
      <c r="J157" s="5" t="s">
        <v>103</v>
      </c>
      <c r="K157" s="5"/>
      <c r="L157" s="5" t="s">
        <v>101</v>
      </c>
      <c r="M157" s="5">
        <v>3662.6</v>
      </c>
      <c r="N157" s="5">
        <v>3602</v>
      </c>
      <c r="O157" s="5">
        <v>3616.1</v>
      </c>
      <c r="P157" s="5">
        <v>3353.11</v>
      </c>
      <c r="Q157" s="5">
        <v>3193.33</v>
      </c>
      <c r="R157" s="5">
        <v>3193.33</v>
      </c>
      <c r="S157" s="5">
        <v>2994.11</v>
      </c>
      <c r="T157" s="5">
        <v>3073.58</v>
      </c>
      <c r="U157" s="5">
        <v>3353.48</v>
      </c>
      <c r="V157" s="5">
        <v>3476.32</v>
      </c>
      <c r="W157" s="5">
        <v>3610.29</v>
      </c>
      <c r="X157" s="5">
        <v>3615.66</v>
      </c>
      <c r="Y157" s="5">
        <v>4153.21</v>
      </c>
      <c r="Z157" s="5">
        <v>4291.97</v>
      </c>
      <c r="AA157" s="5">
        <v>4262.42</v>
      </c>
      <c r="AB157" s="5">
        <v>4236.5600000000004</v>
      </c>
      <c r="AC157" s="5">
        <v>4416.75</v>
      </c>
      <c r="AD157" s="5">
        <v>4436</v>
      </c>
      <c r="AE157" s="5">
        <v>3737</v>
      </c>
      <c r="AF157" s="5">
        <v>3448</v>
      </c>
    </row>
    <row r="158" spans="1:32" hidden="1" x14ac:dyDescent="0.2">
      <c r="A158">
        <v>2776</v>
      </c>
      <c r="B158">
        <v>2148</v>
      </c>
      <c r="C158">
        <v>1</v>
      </c>
      <c r="D158">
        <v>16</v>
      </c>
      <c r="E158" s="5" t="s">
        <v>110</v>
      </c>
      <c r="F158" s="5" t="s">
        <v>3</v>
      </c>
      <c r="G158" s="5" t="s">
        <v>99</v>
      </c>
      <c r="H158" s="5" t="s">
        <v>27</v>
      </c>
      <c r="I158" s="5"/>
      <c r="J158" s="5" t="s">
        <v>100</v>
      </c>
      <c r="K158" s="5"/>
      <c r="L158" s="5" t="s">
        <v>101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</row>
    <row r="159" spans="1:32" hidden="1" x14ac:dyDescent="0.2">
      <c r="A159">
        <v>2776</v>
      </c>
      <c r="B159">
        <v>1593</v>
      </c>
      <c r="C159">
        <v>1</v>
      </c>
      <c r="D159">
        <v>16</v>
      </c>
      <c r="E159" s="5" t="s">
        <v>110</v>
      </c>
      <c r="F159" s="5" t="s">
        <v>102</v>
      </c>
      <c r="G159" s="5" t="s">
        <v>99</v>
      </c>
      <c r="H159" s="5" t="s">
        <v>27</v>
      </c>
      <c r="I159" s="5"/>
      <c r="J159" s="5" t="s">
        <v>103</v>
      </c>
      <c r="K159" s="5"/>
      <c r="L159" s="5" t="s">
        <v>101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</row>
    <row r="160" spans="1:32" hidden="1" x14ac:dyDescent="0.2">
      <c r="A160">
        <v>2776</v>
      </c>
      <c r="B160">
        <v>2148</v>
      </c>
      <c r="C160">
        <v>1</v>
      </c>
      <c r="D160">
        <v>11</v>
      </c>
      <c r="E160" s="5" t="s">
        <v>110</v>
      </c>
      <c r="F160" s="5" t="s">
        <v>3</v>
      </c>
      <c r="G160" s="5" t="s">
        <v>99</v>
      </c>
      <c r="H160" s="5" t="s">
        <v>28</v>
      </c>
      <c r="I160" s="5"/>
      <c r="J160" s="5" t="s">
        <v>100</v>
      </c>
      <c r="K160" s="5"/>
      <c r="L160" s="5" t="s">
        <v>101</v>
      </c>
      <c r="M160" s="5">
        <v>5949.3</v>
      </c>
      <c r="N160" s="5">
        <v>5646.3</v>
      </c>
      <c r="O160" s="5">
        <v>5526.5</v>
      </c>
      <c r="P160" s="5">
        <v>5216.2</v>
      </c>
      <c r="Q160" s="5">
        <v>3153</v>
      </c>
      <c r="R160" s="5">
        <v>2573.1</v>
      </c>
      <c r="S160" s="5">
        <v>2050</v>
      </c>
      <c r="T160" s="5">
        <v>2222</v>
      </c>
      <c r="U160" s="5">
        <v>1584.6</v>
      </c>
      <c r="V160" s="5">
        <v>1399</v>
      </c>
      <c r="W160" s="5">
        <v>914.9</v>
      </c>
      <c r="X160" s="5">
        <v>630.79999999999995</v>
      </c>
      <c r="Y160" s="5">
        <v>334.2</v>
      </c>
      <c r="Z160" s="5">
        <v>111.77</v>
      </c>
      <c r="AA160" s="5">
        <v>137.22</v>
      </c>
      <c r="AB160" s="5">
        <v>226.32</v>
      </c>
      <c r="AC160" s="5">
        <v>1750.92</v>
      </c>
      <c r="AD160" s="5">
        <v>9297.91</v>
      </c>
      <c r="AE160" s="5">
        <v>9297.91</v>
      </c>
      <c r="AF160" s="5">
        <v>9297.91</v>
      </c>
    </row>
    <row r="161" spans="1:32" hidden="1" x14ac:dyDescent="0.2">
      <c r="A161">
        <v>2776</v>
      </c>
      <c r="B161">
        <v>1593</v>
      </c>
      <c r="C161">
        <v>1</v>
      </c>
      <c r="D161">
        <v>11</v>
      </c>
      <c r="E161" s="5" t="s">
        <v>110</v>
      </c>
      <c r="F161" s="5" t="s">
        <v>102</v>
      </c>
      <c r="G161" s="5" t="s">
        <v>99</v>
      </c>
      <c r="H161" s="5" t="s">
        <v>28</v>
      </c>
      <c r="I161" s="5"/>
      <c r="J161" s="5" t="s">
        <v>103</v>
      </c>
      <c r="K161" s="5"/>
      <c r="L161" s="5" t="s">
        <v>101</v>
      </c>
      <c r="M161" s="5">
        <v>1580.71</v>
      </c>
      <c r="N161" s="5">
        <v>1527.58</v>
      </c>
      <c r="O161" s="5">
        <v>709.3</v>
      </c>
      <c r="P161" s="5">
        <v>319.19</v>
      </c>
      <c r="Q161" s="5">
        <v>132.19</v>
      </c>
      <c r="R161" s="5">
        <v>209.1</v>
      </c>
      <c r="S161" s="5">
        <v>395.6</v>
      </c>
      <c r="T161" s="5">
        <v>449</v>
      </c>
      <c r="U161" s="5">
        <v>468.11</v>
      </c>
      <c r="V161" s="5">
        <v>468.11</v>
      </c>
      <c r="W161" s="5">
        <v>468.11</v>
      </c>
      <c r="X161" s="5">
        <v>346</v>
      </c>
      <c r="Y161" s="5">
        <v>346</v>
      </c>
      <c r="Z161" s="5">
        <v>370</v>
      </c>
      <c r="AA161" s="5">
        <v>369</v>
      </c>
      <c r="AB161" s="5">
        <v>54.66</v>
      </c>
      <c r="AC161" s="5">
        <v>58.84</v>
      </c>
      <c r="AD161" s="5">
        <v>58.84</v>
      </c>
      <c r="AE161" s="5">
        <v>58.84</v>
      </c>
      <c r="AF161" s="5">
        <v>58.84</v>
      </c>
    </row>
    <row r="162" spans="1:32" hidden="1" x14ac:dyDescent="0.2">
      <c r="A162">
        <v>2776</v>
      </c>
      <c r="B162">
        <v>2148</v>
      </c>
      <c r="C162">
        <v>1</v>
      </c>
      <c r="D162">
        <v>14</v>
      </c>
      <c r="E162" s="5" t="s">
        <v>110</v>
      </c>
      <c r="F162" s="5" t="s">
        <v>3</v>
      </c>
      <c r="G162" s="5" t="s">
        <v>99</v>
      </c>
      <c r="H162" s="5" t="s">
        <v>1</v>
      </c>
      <c r="I162" s="5"/>
      <c r="J162" s="5" t="s">
        <v>100</v>
      </c>
      <c r="K162" s="5"/>
      <c r="L162" s="5" t="s">
        <v>101</v>
      </c>
      <c r="M162" s="5">
        <v>2523</v>
      </c>
      <c r="N162" s="5">
        <v>1685</v>
      </c>
      <c r="O162" s="5">
        <v>2864</v>
      </c>
      <c r="P162" s="5">
        <v>2058</v>
      </c>
      <c r="Q162" s="5">
        <v>2378</v>
      </c>
      <c r="R162" s="5">
        <v>5731</v>
      </c>
      <c r="S162" s="5">
        <v>2908</v>
      </c>
      <c r="T162" s="5">
        <v>624</v>
      </c>
      <c r="U162" s="5">
        <v>784</v>
      </c>
      <c r="V162" s="5">
        <v>261</v>
      </c>
      <c r="W162" s="5">
        <v>115</v>
      </c>
      <c r="X162" s="5">
        <v>1910</v>
      </c>
      <c r="Y162" s="5">
        <v>700</v>
      </c>
      <c r="Z162" s="5">
        <v>751</v>
      </c>
      <c r="AA162" s="5">
        <v>2213</v>
      </c>
      <c r="AB162" s="5">
        <v>1063</v>
      </c>
      <c r="AC162" s="5">
        <v>1410</v>
      </c>
      <c r="AD162" s="5">
        <v>3335</v>
      </c>
      <c r="AE162" s="5">
        <v>3335</v>
      </c>
      <c r="AF162" s="5">
        <v>3335</v>
      </c>
    </row>
    <row r="163" spans="1:32" hidden="1" x14ac:dyDescent="0.2">
      <c r="A163">
        <v>2776</v>
      </c>
      <c r="B163">
        <v>1593</v>
      </c>
      <c r="C163">
        <v>1</v>
      </c>
      <c r="D163">
        <v>14</v>
      </c>
      <c r="E163" s="5" t="s">
        <v>110</v>
      </c>
      <c r="F163" s="5" t="s">
        <v>102</v>
      </c>
      <c r="G163" s="5" t="s">
        <v>99</v>
      </c>
      <c r="H163" s="5" t="s">
        <v>1</v>
      </c>
      <c r="I163" s="5"/>
      <c r="J163" s="5" t="s">
        <v>103</v>
      </c>
      <c r="K163" s="5"/>
      <c r="L163" s="5" t="s">
        <v>101</v>
      </c>
      <c r="M163" s="5">
        <v>198</v>
      </c>
      <c r="N163" s="5">
        <v>2144.41</v>
      </c>
      <c r="O163" s="5">
        <v>1915.31</v>
      </c>
      <c r="P163" s="5">
        <v>1686.21</v>
      </c>
      <c r="Q163" s="5">
        <v>1457.1</v>
      </c>
      <c r="R163" s="5">
        <v>1228</v>
      </c>
      <c r="S163" s="5">
        <v>1228</v>
      </c>
      <c r="T163" s="5">
        <v>1228</v>
      </c>
      <c r="U163" s="5">
        <v>1228</v>
      </c>
      <c r="V163" s="5">
        <v>1154.5</v>
      </c>
      <c r="W163" s="5">
        <v>1216</v>
      </c>
      <c r="X163" s="5">
        <v>1216</v>
      </c>
      <c r="Y163" s="5">
        <v>1216</v>
      </c>
      <c r="Z163" s="5">
        <v>1579</v>
      </c>
      <c r="AA163" s="5">
        <v>1579</v>
      </c>
      <c r="AB163" s="5">
        <v>1706</v>
      </c>
      <c r="AC163" s="5">
        <v>1624</v>
      </c>
      <c r="AD163" s="5">
        <v>1624</v>
      </c>
      <c r="AE163" s="5">
        <v>1624</v>
      </c>
      <c r="AF163" s="5">
        <v>1624</v>
      </c>
    </row>
    <row r="164" spans="1:32" hidden="1" x14ac:dyDescent="0.2">
      <c r="A164">
        <v>2792</v>
      </c>
      <c r="B164">
        <v>2148</v>
      </c>
      <c r="C164">
        <v>1</v>
      </c>
      <c r="D164">
        <v>15</v>
      </c>
      <c r="E164" s="5" t="s">
        <v>111</v>
      </c>
      <c r="F164" s="5" t="s">
        <v>3</v>
      </c>
      <c r="G164" s="5" t="s">
        <v>99</v>
      </c>
      <c r="H164" s="5" t="s">
        <v>15</v>
      </c>
      <c r="I164" s="5"/>
      <c r="J164" s="5" t="s">
        <v>100</v>
      </c>
      <c r="K164" s="5"/>
      <c r="L164" s="5" t="s">
        <v>101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</row>
    <row r="165" spans="1:32" hidden="1" x14ac:dyDescent="0.2">
      <c r="A165">
        <v>2792</v>
      </c>
      <c r="B165">
        <v>1593</v>
      </c>
      <c r="C165">
        <v>1</v>
      </c>
      <c r="D165">
        <v>15</v>
      </c>
      <c r="E165" s="5" t="s">
        <v>111</v>
      </c>
      <c r="F165" s="5" t="s">
        <v>102</v>
      </c>
      <c r="G165" s="5" t="s">
        <v>99</v>
      </c>
      <c r="H165" s="5" t="s">
        <v>15</v>
      </c>
      <c r="I165" s="5"/>
      <c r="J165" s="5" t="s">
        <v>103</v>
      </c>
      <c r="K165" s="5"/>
      <c r="L165" s="5" t="s">
        <v>101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</row>
    <row r="166" spans="1:32" hidden="1" x14ac:dyDescent="0.2">
      <c r="A166">
        <v>2792</v>
      </c>
      <c r="B166">
        <v>2148</v>
      </c>
      <c r="C166">
        <v>1</v>
      </c>
      <c r="D166">
        <v>6</v>
      </c>
      <c r="E166" s="5" t="s">
        <v>111</v>
      </c>
      <c r="F166" s="5" t="s">
        <v>3</v>
      </c>
      <c r="G166" s="5" t="s">
        <v>99</v>
      </c>
      <c r="H166" s="5" t="s">
        <v>17</v>
      </c>
      <c r="I166" s="5"/>
      <c r="J166" s="5" t="s">
        <v>100</v>
      </c>
      <c r="K166" s="5"/>
      <c r="L166" s="5" t="s">
        <v>101</v>
      </c>
      <c r="M166" s="5">
        <v>815</v>
      </c>
      <c r="N166" s="5">
        <v>1011</v>
      </c>
      <c r="O166" s="5">
        <v>1258</v>
      </c>
      <c r="P166" s="5">
        <v>1372</v>
      </c>
      <c r="Q166" s="5">
        <v>1111</v>
      </c>
      <c r="R166" s="5">
        <v>858</v>
      </c>
      <c r="S166" s="5">
        <v>871</v>
      </c>
      <c r="T166" s="5">
        <v>816</v>
      </c>
      <c r="U166" s="5">
        <v>551</v>
      </c>
      <c r="V166" s="5">
        <v>299</v>
      </c>
      <c r="W166" s="5">
        <v>118</v>
      </c>
      <c r="X166" s="5">
        <v>362</v>
      </c>
      <c r="Y166" s="5">
        <v>381</v>
      </c>
      <c r="Z166" s="5">
        <v>302</v>
      </c>
      <c r="AA166" s="5">
        <v>739</v>
      </c>
      <c r="AB166" s="5">
        <v>451</v>
      </c>
      <c r="AC166" s="5">
        <v>553.64</v>
      </c>
      <c r="AD166" s="5">
        <v>351.14</v>
      </c>
      <c r="AE166" s="5">
        <v>53.3</v>
      </c>
      <c r="AF166" s="5">
        <v>495.1</v>
      </c>
    </row>
    <row r="167" spans="1:32" hidden="1" x14ac:dyDescent="0.2">
      <c r="A167">
        <v>2792</v>
      </c>
      <c r="B167">
        <v>1593</v>
      </c>
      <c r="C167">
        <v>1</v>
      </c>
      <c r="D167">
        <v>6</v>
      </c>
      <c r="E167" s="5" t="s">
        <v>111</v>
      </c>
      <c r="F167" s="5" t="s">
        <v>102</v>
      </c>
      <c r="G167" s="5" t="s">
        <v>99</v>
      </c>
      <c r="H167" s="5" t="s">
        <v>17</v>
      </c>
      <c r="I167" s="5"/>
      <c r="J167" s="5" t="s">
        <v>103</v>
      </c>
      <c r="K167" s="5"/>
      <c r="L167" s="5" t="s">
        <v>101</v>
      </c>
      <c r="M167" s="5">
        <v>199</v>
      </c>
      <c r="N167" s="5">
        <v>262</v>
      </c>
      <c r="O167" s="5">
        <v>262</v>
      </c>
      <c r="P167" s="5">
        <v>310</v>
      </c>
      <c r="Q167" s="5">
        <v>302</v>
      </c>
      <c r="R167" s="5">
        <v>289</v>
      </c>
      <c r="S167" s="5">
        <v>285</v>
      </c>
      <c r="T167" s="5">
        <v>267</v>
      </c>
      <c r="U167" s="5">
        <v>266</v>
      </c>
      <c r="V167" s="5">
        <v>257</v>
      </c>
      <c r="W167" s="5">
        <v>218</v>
      </c>
      <c r="X167" s="5">
        <v>274</v>
      </c>
      <c r="Y167" s="5">
        <v>251</v>
      </c>
      <c r="Z167" s="5">
        <v>267</v>
      </c>
      <c r="AA167" s="5">
        <v>270</v>
      </c>
      <c r="AB167" s="5">
        <v>659</v>
      </c>
      <c r="AC167" s="5">
        <v>619.6</v>
      </c>
      <c r="AD167" s="5">
        <v>642.6</v>
      </c>
      <c r="AE167" s="5">
        <v>400</v>
      </c>
      <c r="AF167" s="5">
        <v>400</v>
      </c>
    </row>
    <row r="168" spans="1:32" hidden="1" x14ac:dyDescent="0.2">
      <c r="A168">
        <v>2792</v>
      </c>
      <c r="B168">
        <v>2148</v>
      </c>
      <c r="C168">
        <v>1</v>
      </c>
      <c r="D168">
        <v>1</v>
      </c>
      <c r="E168" s="5" t="s">
        <v>111</v>
      </c>
      <c r="F168" s="5" t="s">
        <v>3</v>
      </c>
      <c r="G168" s="5" t="s">
        <v>99</v>
      </c>
      <c r="H168" s="5" t="s">
        <v>19</v>
      </c>
      <c r="I168" s="5"/>
      <c r="J168" s="5" t="s">
        <v>100</v>
      </c>
      <c r="K168" s="5"/>
      <c r="L168" s="5" t="s">
        <v>101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</row>
    <row r="169" spans="1:32" x14ac:dyDescent="0.2">
      <c r="A169">
        <v>2792</v>
      </c>
      <c r="B169">
        <v>1593</v>
      </c>
      <c r="C169">
        <v>1</v>
      </c>
      <c r="D169">
        <v>1</v>
      </c>
      <c r="E169" s="5" t="s">
        <v>111</v>
      </c>
      <c r="F169" s="5" t="s">
        <v>102</v>
      </c>
      <c r="G169" s="5" t="s">
        <v>99</v>
      </c>
      <c r="H169" s="5" t="s">
        <v>19</v>
      </c>
      <c r="I169" s="5"/>
      <c r="J169" s="5" t="s">
        <v>103</v>
      </c>
      <c r="K169" s="5"/>
      <c r="L169" s="5" t="s">
        <v>101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</row>
    <row r="170" spans="1:32" hidden="1" x14ac:dyDescent="0.2">
      <c r="A170">
        <v>2792</v>
      </c>
      <c r="B170">
        <v>2148</v>
      </c>
      <c r="C170">
        <v>1</v>
      </c>
      <c r="D170">
        <v>13</v>
      </c>
      <c r="E170" s="5" t="s">
        <v>111</v>
      </c>
      <c r="F170" s="5" t="s">
        <v>3</v>
      </c>
      <c r="G170" s="5" t="s">
        <v>99</v>
      </c>
      <c r="H170" s="5" t="s">
        <v>20</v>
      </c>
      <c r="I170" s="5"/>
      <c r="J170" s="5" t="s">
        <v>100</v>
      </c>
      <c r="K170" s="5"/>
      <c r="L170" s="5" t="s">
        <v>101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</row>
    <row r="171" spans="1:32" hidden="1" x14ac:dyDescent="0.2">
      <c r="A171">
        <v>2792</v>
      </c>
      <c r="B171">
        <v>1593</v>
      </c>
      <c r="C171">
        <v>1</v>
      </c>
      <c r="D171">
        <v>13</v>
      </c>
      <c r="E171" s="5" t="s">
        <v>111</v>
      </c>
      <c r="F171" s="5" t="s">
        <v>102</v>
      </c>
      <c r="G171" s="5" t="s">
        <v>99</v>
      </c>
      <c r="H171" s="5" t="s">
        <v>20</v>
      </c>
      <c r="I171" s="5"/>
      <c r="J171" s="5" t="s">
        <v>103</v>
      </c>
      <c r="K171" s="5"/>
      <c r="L171" s="5" t="s">
        <v>101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</row>
    <row r="172" spans="1:32" hidden="1" x14ac:dyDescent="0.2">
      <c r="A172">
        <v>2792</v>
      </c>
      <c r="B172">
        <v>2148</v>
      </c>
      <c r="C172">
        <v>1</v>
      </c>
      <c r="D172">
        <v>17</v>
      </c>
      <c r="E172" s="5" t="s">
        <v>111</v>
      </c>
      <c r="F172" s="5" t="s">
        <v>3</v>
      </c>
      <c r="G172" s="5" t="s">
        <v>99</v>
      </c>
      <c r="H172" s="5" t="s">
        <v>22</v>
      </c>
      <c r="I172" s="5"/>
      <c r="J172" s="5" t="s">
        <v>100</v>
      </c>
      <c r="K172" s="5"/>
      <c r="L172" s="5" t="s">
        <v>101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</row>
    <row r="173" spans="1:32" hidden="1" x14ac:dyDescent="0.2">
      <c r="A173">
        <v>2792</v>
      </c>
      <c r="B173">
        <v>1593</v>
      </c>
      <c r="C173">
        <v>1</v>
      </c>
      <c r="D173">
        <v>17</v>
      </c>
      <c r="E173" s="5" t="s">
        <v>111</v>
      </c>
      <c r="F173" s="5" t="s">
        <v>102</v>
      </c>
      <c r="G173" s="5" t="s">
        <v>99</v>
      </c>
      <c r="H173" s="5" t="s">
        <v>22</v>
      </c>
      <c r="I173" s="5"/>
      <c r="J173" s="5" t="s">
        <v>103</v>
      </c>
      <c r="K173" s="5"/>
      <c r="L173" s="5" t="s">
        <v>101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</row>
    <row r="174" spans="1:32" hidden="1" x14ac:dyDescent="0.2">
      <c r="A174">
        <v>2792</v>
      </c>
      <c r="B174">
        <v>2148</v>
      </c>
      <c r="C174">
        <v>1</v>
      </c>
      <c r="D174">
        <v>12</v>
      </c>
      <c r="E174" s="5" t="s">
        <v>111</v>
      </c>
      <c r="F174" s="5" t="s">
        <v>3</v>
      </c>
      <c r="G174" s="5" t="s">
        <v>99</v>
      </c>
      <c r="H174" s="5" t="s">
        <v>23</v>
      </c>
      <c r="I174" s="5"/>
      <c r="J174" s="5" t="s">
        <v>100</v>
      </c>
      <c r="K174" s="5"/>
      <c r="L174" s="5" t="s">
        <v>101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</row>
    <row r="175" spans="1:32" hidden="1" x14ac:dyDescent="0.2">
      <c r="A175">
        <v>2792</v>
      </c>
      <c r="B175">
        <v>1593</v>
      </c>
      <c r="C175">
        <v>1</v>
      </c>
      <c r="D175">
        <v>12</v>
      </c>
      <c r="E175" s="5" t="s">
        <v>111</v>
      </c>
      <c r="F175" s="5" t="s">
        <v>102</v>
      </c>
      <c r="G175" s="5" t="s">
        <v>99</v>
      </c>
      <c r="H175" s="5" t="s">
        <v>23</v>
      </c>
      <c r="I175" s="5"/>
      <c r="J175" s="5" t="s">
        <v>103</v>
      </c>
      <c r="K175" s="5"/>
      <c r="L175" s="5" t="s">
        <v>101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</row>
    <row r="176" spans="1:32" hidden="1" x14ac:dyDescent="0.2">
      <c r="A176">
        <v>2792</v>
      </c>
      <c r="B176">
        <v>2148</v>
      </c>
      <c r="C176">
        <v>1</v>
      </c>
      <c r="D176">
        <v>19</v>
      </c>
      <c r="E176" s="5" t="s">
        <v>111</v>
      </c>
      <c r="F176" s="5" t="s">
        <v>3</v>
      </c>
      <c r="G176" s="5" t="s">
        <v>99</v>
      </c>
      <c r="H176" s="5" t="s">
        <v>25</v>
      </c>
      <c r="I176" s="5"/>
      <c r="J176" s="5" t="s">
        <v>100</v>
      </c>
      <c r="K176" s="5"/>
      <c r="L176" s="5" t="s">
        <v>101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</row>
    <row r="177" spans="1:32" hidden="1" x14ac:dyDescent="0.2">
      <c r="A177">
        <v>2792</v>
      </c>
      <c r="B177">
        <v>1593</v>
      </c>
      <c r="C177">
        <v>1</v>
      </c>
      <c r="D177">
        <v>19</v>
      </c>
      <c r="E177" s="5" t="s">
        <v>111</v>
      </c>
      <c r="F177" s="5" t="s">
        <v>102</v>
      </c>
      <c r="G177" s="5" t="s">
        <v>99</v>
      </c>
      <c r="H177" s="5" t="s">
        <v>25</v>
      </c>
      <c r="I177" s="5"/>
      <c r="J177" s="5" t="s">
        <v>103</v>
      </c>
      <c r="K177" s="5"/>
      <c r="L177" s="5" t="s">
        <v>101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</row>
    <row r="178" spans="1:32" hidden="1" x14ac:dyDescent="0.2">
      <c r="A178">
        <v>2792</v>
      </c>
      <c r="B178">
        <v>2148</v>
      </c>
      <c r="C178">
        <v>1</v>
      </c>
      <c r="D178">
        <v>16</v>
      </c>
      <c r="E178" s="5" t="s">
        <v>111</v>
      </c>
      <c r="F178" s="5" t="s">
        <v>3</v>
      </c>
      <c r="G178" s="5" t="s">
        <v>99</v>
      </c>
      <c r="H178" s="5" t="s">
        <v>27</v>
      </c>
      <c r="I178" s="5"/>
      <c r="J178" s="5" t="s">
        <v>100</v>
      </c>
      <c r="K178" s="5"/>
      <c r="L178" s="5" t="s">
        <v>101</v>
      </c>
      <c r="M178" s="5">
        <v>8827</v>
      </c>
      <c r="N178" s="5">
        <v>7817</v>
      </c>
      <c r="O178" s="5">
        <v>7774</v>
      </c>
      <c r="P178" s="5">
        <v>7167</v>
      </c>
      <c r="Q178" s="5">
        <v>7064</v>
      </c>
      <c r="R178" s="5">
        <v>9164</v>
      </c>
      <c r="S178" s="5">
        <v>8924</v>
      </c>
      <c r="T178" s="5">
        <v>6102</v>
      </c>
      <c r="U178" s="5">
        <v>2249</v>
      </c>
      <c r="V178" s="5">
        <v>345</v>
      </c>
      <c r="W178" s="5">
        <v>332</v>
      </c>
      <c r="X178" s="5">
        <v>361</v>
      </c>
      <c r="Y178" s="5">
        <v>366</v>
      </c>
      <c r="Z178" s="5">
        <v>291.5</v>
      </c>
      <c r="AA178" s="5">
        <v>217</v>
      </c>
      <c r="AB178" s="5">
        <v>211</v>
      </c>
      <c r="AC178" s="5">
        <v>440</v>
      </c>
      <c r="AD178" s="5">
        <v>459</v>
      </c>
      <c r="AE178" s="5">
        <v>459</v>
      </c>
      <c r="AF178" s="5">
        <v>459</v>
      </c>
    </row>
    <row r="179" spans="1:32" hidden="1" x14ac:dyDescent="0.2">
      <c r="A179">
        <v>2792</v>
      </c>
      <c r="B179">
        <v>1593</v>
      </c>
      <c r="C179">
        <v>1</v>
      </c>
      <c r="D179">
        <v>16</v>
      </c>
      <c r="E179" s="5" t="s">
        <v>111</v>
      </c>
      <c r="F179" s="5" t="s">
        <v>102</v>
      </c>
      <c r="G179" s="5" t="s">
        <v>99</v>
      </c>
      <c r="H179" s="5" t="s">
        <v>27</v>
      </c>
      <c r="I179" s="5"/>
      <c r="J179" s="5" t="s">
        <v>103</v>
      </c>
      <c r="K179" s="5"/>
      <c r="L179" s="5" t="s">
        <v>101</v>
      </c>
      <c r="M179" s="5">
        <v>4640</v>
      </c>
      <c r="N179" s="5">
        <v>4405</v>
      </c>
      <c r="O179" s="5">
        <v>4420</v>
      </c>
      <c r="P179" s="5">
        <v>4440</v>
      </c>
      <c r="Q179" s="5">
        <v>3950</v>
      </c>
      <c r="R179" s="5">
        <v>3148</v>
      </c>
      <c r="S179" s="5">
        <v>3148</v>
      </c>
      <c r="T179" s="5">
        <v>2555</v>
      </c>
      <c r="U179" s="5">
        <v>2555</v>
      </c>
      <c r="V179" s="5">
        <v>2555</v>
      </c>
      <c r="W179" s="5">
        <v>2555</v>
      </c>
      <c r="X179" s="5">
        <v>2555</v>
      </c>
      <c r="Y179" s="5">
        <v>2555</v>
      </c>
      <c r="Z179" s="5">
        <v>2554.6</v>
      </c>
      <c r="AA179" s="5">
        <v>1363.6</v>
      </c>
      <c r="AB179" s="5">
        <v>763.6</v>
      </c>
      <c r="AC179" s="5">
        <v>763.6</v>
      </c>
      <c r="AD179" s="5">
        <v>763.6</v>
      </c>
      <c r="AE179" s="5">
        <v>763.6</v>
      </c>
      <c r="AF179" s="5">
        <v>763.6</v>
      </c>
    </row>
    <row r="180" spans="1:32" hidden="1" x14ac:dyDescent="0.2">
      <c r="A180">
        <v>2792</v>
      </c>
      <c r="B180">
        <v>2148</v>
      </c>
      <c r="C180">
        <v>1</v>
      </c>
      <c r="D180">
        <v>11</v>
      </c>
      <c r="E180" s="5" t="s">
        <v>111</v>
      </c>
      <c r="F180" s="5" t="s">
        <v>3</v>
      </c>
      <c r="G180" s="5" t="s">
        <v>99</v>
      </c>
      <c r="H180" s="5" t="s">
        <v>28</v>
      </c>
      <c r="I180" s="5"/>
      <c r="J180" s="5" t="s">
        <v>100</v>
      </c>
      <c r="K180" s="5"/>
      <c r="L180" s="5" t="s">
        <v>101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584.29</v>
      </c>
      <c r="AC180" s="5">
        <v>971.05</v>
      </c>
      <c r="AD180" s="5">
        <v>1263.3</v>
      </c>
      <c r="AE180" s="5">
        <v>1263.3</v>
      </c>
      <c r="AF180" s="5">
        <v>1263.3</v>
      </c>
    </row>
    <row r="181" spans="1:32" hidden="1" x14ac:dyDescent="0.2">
      <c r="A181">
        <v>2792</v>
      </c>
      <c r="B181">
        <v>1593</v>
      </c>
      <c r="C181">
        <v>1</v>
      </c>
      <c r="D181">
        <v>11</v>
      </c>
      <c r="E181" s="5" t="s">
        <v>111</v>
      </c>
      <c r="F181" s="5" t="s">
        <v>102</v>
      </c>
      <c r="G181" s="5" t="s">
        <v>99</v>
      </c>
      <c r="H181" s="5" t="s">
        <v>28</v>
      </c>
      <c r="I181" s="5"/>
      <c r="J181" s="5" t="s">
        <v>103</v>
      </c>
      <c r="K181" s="5"/>
      <c r="L181" s="5" t="s">
        <v>101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315</v>
      </c>
      <c r="AC181" s="5">
        <v>315</v>
      </c>
      <c r="AD181" s="5">
        <v>315</v>
      </c>
      <c r="AE181" s="5">
        <v>315</v>
      </c>
      <c r="AF181" s="5">
        <v>315</v>
      </c>
    </row>
    <row r="182" spans="1:32" hidden="1" x14ac:dyDescent="0.2">
      <c r="A182">
        <v>2792</v>
      </c>
      <c r="B182">
        <v>2148</v>
      </c>
      <c r="C182">
        <v>1</v>
      </c>
      <c r="D182">
        <v>14</v>
      </c>
      <c r="E182" s="5" t="s">
        <v>111</v>
      </c>
      <c r="F182" s="5" t="s">
        <v>3</v>
      </c>
      <c r="G182" s="5" t="s">
        <v>99</v>
      </c>
      <c r="H182" s="5" t="s">
        <v>1</v>
      </c>
      <c r="I182" s="5"/>
      <c r="J182" s="5" t="s">
        <v>100</v>
      </c>
      <c r="K182" s="5"/>
      <c r="L182" s="5" t="s">
        <v>101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</row>
    <row r="183" spans="1:32" hidden="1" x14ac:dyDescent="0.2">
      <c r="A183">
        <v>2792</v>
      </c>
      <c r="B183">
        <v>1593</v>
      </c>
      <c r="C183">
        <v>1</v>
      </c>
      <c r="D183">
        <v>14</v>
      </c>
      <c r="E183" s="5" t="s">
        <v>111</v>
      </c>
      <c r="F183" s="5" t="s">
        <v>102</v>
      </c>
      <c r="G183" s="5" t="s">
        <v>99</v>
      </c>
      <c r="H183" s="5" t="s">
        <v>1</v>
      </c>
      <c r="I183" s="5"/>
      <c r="J183" s="5" t="s">
        <v>103</v>
      </c>
      <c r="K183" s="5"/>
      <c r="L183" s="5" t="s">
        <v>101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</row>
    <row r="184" spans="1:32" hidden="1" x14ac:dyDescent="0.2">
      <c r="A184">
        <v>2808</v>
      </c>
      <c r="B184">
        <v>2148</v>
      </c>
      <c r="C184">
        <v>1</v>
      </c>
      <c r="D184">
        <v>15</v>
      </c>
      <c r="E184" s="5" t="s">
        <v>112</v>
      </c>
      <c r="F184" s="5" t="s">
        <v>3</v>
      </c>
      <c r="G184" s="5" t="s">
        <v>99</v>
      </c>
      <c r="H184" s="5" t="s">
        <v>15</v>
      </c>
      <c r="I184" s="5"/>
      <c r="J184" s="5" t="s">
        <v>100</v>
      </c>
      <c r="K184" s="5"/>
      <c r="L184" s="5" t="s">
        <v>101</v>
      </c>
      <c r="M184" s="5">
        <v>2491.3000000000002</v>
      </c>
      <c r="N184" s="5">
        <v>2592.1999999999998</v>
      </c>
      <c r="O184" s="5">
        <v>2656.1</v>
      </c>
      <c r="P184" s="5">
        <v>2701</v>
      </c>
      <c r="Q184" s="5">
        <v>2739.3</v>
      </c>
      <c r="R184" s="5">
        <v>2715.5</v>
      </c>
      <c r="S184" s="5">
        <v>2483.5</v>
      </c>
      <c r="T184" s="5">
        <v>2582.9</v>
      </c>
      <c r="U184" s="5">
        <v>2684.9</v>
      </c>
      <c r="V184" s="5">
        <v>2749.8</v>
      </c>
      <c r="W184" s="5">
        <v>2845.4</v>
      </c>
      <c r="X184" s="5">
        <v>2836.1</v>
      </c>
      <c r="Y184" s="5">
        <v>2721.9</v>
      </c>
      <c r="Z184" s="5">
        <v>2664.4</v>
      </c>
      <c r="AA184" s="5">
        <v>2693.4</v>
      </c>
      <c r="AB184" s="5">
        <v>2654.9</v>
      </c>
      <c r="AC184" s="5">
        <v>2726.7</v>
      </c>
      <c r="AD184" s="5">
        <v>2491.6</v>
      </c>
      <c r="AE184" s="5">
        <v>2581.8000000000002</v>
      </c>
      <c r="AF184" s="5">
        <v>2798.8</v>
      </c>
    </row>
    <row r="185" spans="1:32" hidden="1" x14ac:dyDescent="0.2">
      <c r="A185">
        <v>2808</v>
      </c>
      <c r="B185">
        <v>1593</v>
      </c>
      <c r="C185">
        <v>1</v>
      </c>
      <c r="D185">
        <v>15</v>
      </c>
      <c r="E185" s="5" t="s">
        <v>112</v>
      </c>
      <c r="F185" s="5" t="s">
        <v>102</v>
      </c>
      <c r="G185" s="5" t="s">
        <v>99</v>
      </c>
      <c r="H185" s="5" t="s">
        <v>15</v>
      </c>
      <c r="I185" s="5"/>
      <c r="J185" s="5" t="s">
        <v>103</v>
      </c>
      <c r="K185" s="5"/>
      <c r="L185" s="5" t="s">
        <v>101</v>
      </c>
      <c r="M185" s="5">
        <v>567.42999999999995</v>
      </c>
      <c r="N185" s="5">
        <v>566.97</v>
      </c>
      <c r="O185" s="5">
        <v>566.59</v>
      </c>
      <c r="P185" s="5">
        <v>569.04</v>
      </c>
      <c r="Q185" s="5">
        <v>569.71</v>
      </c>
      <c r="R185" s="5">
        <v>576.95000000000005</v>
      </c>
      <c r="S185" s="5">
        <v>583.95000000000005</v>
      </c>
      <c r="T185" s="5">
        <v>605.95000000000005</v>
      </c>
      <c r="U185" s="5">
        <v>607.49</v>
      </c>
      <c r="V185" s="5">
        <v>610.39</v>
      </c>
      <c r="W185" s="5">
        <v>613.99</v>
      </c>
      <c r="X185" s="5">
        <v>613.99</v>
      </c>
      <c r="Y185" s="5">
        <v>613.99</v>
      </c>
      <c r="Z185" s="5">
        <v>613.73</v>
      </c>
      <c r="AA185" s="5">
        <v>627.73</v>
      </c>
      <c r="AB185" s="5">
        <v>627.73</v>
      </c>
      <c r="AC185" s="5">
        <v>669.43</v>
      </c>
      <c r="AD185" s="5">
        <v>669.43</v>
      </c>
      <c r="AE185" s="5">
        <v>669.43</v>
      </c>
      <c r="AF185" s="5">
        <v>669.43</v>
      </c>
    </row>
    <row r="186" spans="1:32" hidden="1" x14ac:dyDescent="0.2">
      <c r="A186">
        <v>2808</v>
      </c>
      <c r="B186">
        <v>2148</v>
      </c>
      <c r="C186">
        <v>1</v>
      </c>
      <c r="D186">
        <v>6</v>
      </c>
      <c r="E186" s="5" t="s">
        <v>112</v>
      </c>
      <c r="F186" s="5" t="s">
        <v>3</v>
      </c>
      <c r="G186" s="5" t="s">
        <v>99</v>
      </c>
      <c r="H186" s="5" t="s">
        <v>17</v>
      </c>
      <c r="I186" s="5"/>
      <c r="J186" s="5" t="s">
        <v>100</v>
      </c>
      <c r="K186" s="5"/>
      <c r="L186" s="5" t="s">
        <v>101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</row>
    <row r="187" spans="1:32" hidden="1" x14ac:dyDescent="0.2">
      <c r="A187">
        <v>2808</v>
      </c>
      <c r="B187">
        <v>1593</v>
      </c>
      <c r="C187">
        <v>1</v>
      </c>
      <c r="D187">
        <v>6</v>
      </c>
      <c r="E187" s="5" t="s">
        <v>112</v>
      </c>
      <c r="F187" s="5" t="s">
        <v>102</v>
      </c>
      <c r="G187" s="5" t="s">
        <v>99</v>
      </c>
      <c r="H187" s="5" t="s">
        <v>17</v>
      </c>
      <c r="I187" s="5"/>
      <c r="J187" s="5" t="s">
        <v>103</v>
      </c>
      <c r="K187" s="5"/>
      <c r="L187" s="5" t="s">
        <v>101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</row>
    <row r="188" spans="1:32" hidden="1" x14ac:dyDescent="0.2">
      <c r="A188">
        <v>2808</v>
      </c>
      <c r="B188">
        <v>2148</v>
      </c>
      <c r="C188">
        <v>1</v>
      </c>
      <c r="D188">
        <v>1</v>
      </c>
      <c r="E188" s="5" t="s">
        <v>112</v>
      </c>
      <c r="F188" s="5" t="s">
        <v>3</v>
      </c>
      <c r="G188" s="5" t="s">
        <v>99</v>
      </c>
      <c r="H188" s="5" t="s">
        <v>19</v>
      </c>
      <c r="I188" s="5"/>
      <c r="J188" s="5" t="s">
        <v>100</v>
      </c>
      <c r="K188" s="5"/>
      <c r="L188" s="5" t="s">
        <v>101</v>
      </c>
      <c r="M188" s="5">
        <v>6412</v>
      </c>
      <c r="N188" s="5">
        <v>5818</v>
      </c>
      <c r="O188" s="5">
        <v>6662</v>
      </c>
      <c r="P188" s="5">
        <v>6957</v>
      </c>
      <c r="Q188" s="5">
        <v>10343</v>
      </c>
      <c r="R188" s="5">
        <v>10884</v>
      </c>
      <c r="S188" s="5">
        <v>11664</v>
      </c>
      <c r="T188" s="5">
        <v>10001</v>
      </c>
      <c r="U188" s="5">
        <v>10487</v>
      </c>
      <c r="V188" s="5">
        <v>10712</v>
      </c>
      <c r="W188" s="5">
        <v>7997</v>
      </c>
      <c r="X188" s="5">
        <v>6512</v>
      </c>
      <c r="Y188" s="5">
        <v>7119</v>
      </c>
      <c r="Z188" s="5">
        <v>9957</v>
      </c>
      <c r="AA188" s="5">
        <v>9144</v>
      </c>
      <c r="AB188" s="5">
        <v>6495</v>
      </c>
      <c r="AC188" s="5">
        <v>7212</v>
      </c>
      <c r="AD188" s="5">
        <v>6566</v>
      </c>
      <c r="AE188" s="5">
        <v>5321</v>
      </c>
      <c r="AF188" s="5">
        <v>6650</v>
      </c>
    </row>
    <row r="189" spans="1:32" x14ac:dyDescent="0.2">
      <c r="A189">
        <v>2808</v>
      </c>
      <c r="B189">
        <v>1593</v>
      </c>
      <c r="C189">
        <v>1</v>
      </c>
      <c r="D189">
        <v>1</v>
      </c>
      <c r="E189" s="5" t="s">
        <v>112</v>
      </c>
      <c r="F189" s="5" t="s">
        <v>102</v>
      </c>
      <c r="G189" s="5" t="s">
        <v>99</v>
      </c>
      <c r="H189" s="5" t="s">
        <v>19</v>
      </c>
      <c r="I189" s="5"/>
      <c r="J189" s="5" t="s">
        <v>103</v>
      </c>
      <c r="K189" s="5"/>
      <c r="L189" s="5" t="s">
        <v>101</v>
      </c>
      <c r="M189" s="5">
        <v>3099.35</v>
      </c>
      <c r="N189" s="5">
        <v>3102.95</v>
      </c>
      <c r="O189" s="5">
        <v>3220.18</v>
      </c>
      <c r="P189" s="5">
        <v>3068.97</v>
      </c>
      <c r="Q189" s="5">
        <v>3135.88</v>
      </c>
      <c r="R189" s="5">
        <v>3821.57</v>
      </c>
      <c r="S189" s="5">
        <v>4236.0200000000004</v>
      </c>
      <c r="T189" s="5">
        <v>4343.82</v>
      </c>
      <c r="U189" s="5">
        <v>4389.09</v>
      </c>
      <c r="V189" s="5">
        <v>4310.5</v>
      </c>
      <c r="W189" s="5">
        <v>4310.5</v>
      </c>
      <c r="X189" s="5">
        <v>4420.5</v>
      </c>
      <c r="Y189" s="5">
        <v>4420.5</v>
      </c>
      <c r="Z189" s="5">
        <v>5348.44</v>
      </c>
      <c r="AA189" s="5">
        <v>5348.44</v>
      </c>
      <c r="AB189" s="5">
        <v>5348.44</v>
      </c>
      <c r="AC189" s="5">
        <v>5348.44</v>
      </c>
      <c r="AD189" s="5">
        <v>4456.74</v>
      </c>
      <c r="AE189" s="5">
        <v>4453.2700000000004</v>
      </c>
      <c r="AF189" s="5">
        <v>4477.66</v>
      </c>
    </row>
    <row r="190" spans="1:32" hidden="1" x14ac:dyDescent="0.2">
      <c r="A190">
        <v>2808</v>
      </c>
      <c r="B190">
        <v>2148</v>
      </c>
      <c r="C190">
        <v>1</v>
      </c>
      <c r="D190">
        <v>13</v>
      </c>
      <c r="E190" s="5" t="s">
        <v>112</v>
      </c>
      <c r="F190" s="5" t="s">
        <v>3</v>
      </c>
      <c r="G190" s="5" t="s">
        <v>99</v>
      </c>
      <c r="H190" s="5" t="s">
        <v>20</v>
      </c>
      <c r="I190" s="5"/>
      <c r="J190" s="5" t="s">
        <v>100</v>
      </c>
      <c r="K190" s="5"/>
      <c r="L190" s="5" t="s">
        <v>101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</row>
    <row r="191" spans="1:32" hidden="1" x14ac:dyDescent="0.2">
      <c r="A191">
        <v>2808</v>
      </c>
      <c r="B191">
        <v>1593</v>
      </c>
      <c r="C191">
        <v>1</v>
      </c>
      <c r="D191">
        <v>13</v>
      </c>
      <c r="E191" s="5" t="s">
        <v>112</v>
      </c>
      <c r="F191" s="5" t="s">
        <v>102</v>
      </c>
      <c r="G191" s="5" t="s">
        <v>99</v>
      </c>
      <c r="H191" s="5" t="s">
        <v>20</v>
      </c>
      <c r="I191" s="5"/>
      <c r="J191" s="5" t="s">
        <v>103</v>
      </c>
      <c r="K191" s="5"/>
      <c r="L191" s="5" t="s">
        <v>101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</row>
    <row r="192" spans="1:32" hidden="1" x14ac:dyDescent="0.2">
      <c r="A192">
        <v>2808</v>
      </c>
      <c r="B192">
        <v>2148</v>
      </c>
      <c r="C192">
        <v>1</v>
      </c>
      <c r="D192">
        <v>17</v>
      </c>
      <c r="E192" s="5" t="s">
        <v>112</v>
      </c>
      <c r="F192" s="5" t="s">
        <v>3</v>
      </c>
      <c r="G192" s="5" t="s">
        <v>99</v>
      </c>
      <c r="H192" s="5" t="s">
        <v>22</v>
      </c>
      <c r="I192" s="5"/>
      <c r="J192" s="5" t="s">
        <v>100</v>
      </c>
      <c r="K192" s="5"/>
      <c r="L192" s="5" t="s">
        <v>101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</row>
    <row r="193" spans="1:32" hidden="1" x14ac:dyDescent="0.2">
      <c r="A193">
        <v>2808</v>
      </c>
      <c r="B193">
        <v>1593</v>
      </c>
      <c r="C193">
        <v>1</v>
      </c>
      <c r="D193">
        <v>17</v>
      </c>
      <c r="E193" s="5" t="s">
        <v>112</v>
      </c>
      <c r="F193" s="5" t="s">
        <v>102</v>
      </c>
      <c r="G193" s="5" t="s">
        <v>99</v>
      </c>
      <c r="H193" s="5" t="s">
        <v>22</v>
      </c>
      <c r="I193" s="5"/>
      <c r="J193" s="5" t="s">
        <v>103</v>
      </c>
      <c r="K193" s="5"/>
      <c r="L193" s="5" t="s">
        <v>101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</row>
    <row r="194" spans="1:32" hidden="1" x14ac:dyDescent="0.2">
      <c r="A194">
        <v>2808</v>
      </c>
      <c r="B194">
        <v>2148</v>
      </c>
      <c r="C194">
        <v>1</v>
      </c>
      <c r="D194">
        <v>12</v>
      </c>
      <c r="E194" s="5" t="s">
        <v>112</v>
      </c>
      <c r="F194" s="5" t="s">
        <v>3</v>
      </c>
      <c r="G194" s="5" t="s">
        <v>99</v>
      </c>
      <c r="H194" s="5" t="s">
        <v>23</v>
      </c>
      <c r="I194" s="5"/>
      <c r="J194" s="5" t="s">
        <v>100</v>
      </c>
      <c r="K194" s="5"/>
      <c r="L194" s="5" t="s">
        <v>101</v>
      </c>
      <c r="M194" s="5">
        <v>1010.74</v>
      </c>
      <c r="N194" s="5">
        <v>874.7</v>
      </c>
      <c r="O194" s="5">
        <v>827.48</v>
      </c>
      <c r="P194" s="5">
        <v>814.53</v>
      </c>
      <c r="Q194" s="5">
        <v>510.72</v>
      </c>
      <c r="R194" s="5">
        <v>725.01</v>
      </c>
      <c r="S194" s="5">
        <v>922.06</v>
      </c>
      <c r="T194" s="5">
        <v>1029.1199999999999</v>
      </c>
      <c r="U194" s="5">
        <v>1158.78</v>
      </c>
      <c r="V194" s="5">
        <v>1883.49</v>
      </c>
      <c r="W194" s="5">
        <v>2370.0700000000002</v>
      </c>
      <c r="X194" s="5">
        <v>2943.77</v>
      </c>
      <c r="Y194" s="5">
        <v>3053.49</v>
      </c>
      <c r="Z194" s="5">
        <v>3439.05</v>
      </c>
      <c r="AA194" s="5">
        <v>4541.1899999999996</v>
      </c>
      <c r="AB194" s="5">
        <v>5501.9</v>
      </c>
      <c r="AC194" s="5">
        <v>4615.7299999999996</v>
      </c>
      <c r="AD194" s="5">
        <v>4696.49</v>
      </c>
      <c r="AE194" s="5">
        <v>3857.71</v>
      </c>
      <c r="AF194" s="5">
        <v>3337.95</v>
      </c>
    </row>
    <row r="195" spans="1:32" hidden="1" x14ac:dyDescent="0.2">
      <c r="A195">
        <v>2808</v>
      </c>
      <c r="B195">
        <v>1593</v>
      </c>
      <c r="C195">
        <v>1</v>
      </c>
      <c r="D195">
        <v>12</v>
      </c>
      <c r="E195" s="5" t="s">
        <v>112</v>
      </c>
      <c r="F195" s="5" t="s">
        <v>102</v>
      </c>
      <c r="G195" s="5" t="s">
        <v>99</v>
      </c>
      <c r="H195" s="5" t="s">
        <v>23</v>
      </c>
      <c r="I195" s="5"/>
      <c r="J195" s="5" t="s">
        <v>103</v>
      </c>
      <c r="K195" s="5"/>
      <c r="L195" s="5" t="s">
        <v>101</v>
      </c>
      <c r="M195" s="5">
        <v>285.3</v>
      </c>
      <c r="N195" s="5">
        <v>252.3</v>
      </c>
      <c r="O195" s="5">
        <v>253.3</v>
      </c>
      <c r="P195" s="5">
        <v>253.3</v>
      </c>
      <c r="Q195" s="5">
        <v>244.3</v>
      </c>
      <c r="R195" s="5">
        <v>244.2</v>
      </c>
      <c r="S195" s="5">
        <v>244.2</v>
      </c>
      <c r="T195" s="5">
        <v>244.3</v>
      </c>
      <c r="U195" s="5">
        <v>385.27</v>
      </c>
      <c r="V195" s="5">
        <v>577.99</v>
      </c>
      <c r="W195" s="5">
        <v>785.44</v>
      </c>
      <c r="X195" s="5">
        <v>630.25</v>
      </c>
      <c r="Y195" s="5">
        <v>884.65</v>
      </c>
      <c r="Z195" s="5">
        <v>864.27</v>
      </c>
      <c r="AA195" s="5">
        <v>1045.06</v>
      </c>
      <c r="AB195" s="5">
        <v>2116.31</v>
      </c>
      <c r="AC195" s="5">
        <v>2429.8200000000002</v>
      </c>
      <c r="AD195" s="5">
        <v>2195.3000000000002</v>
      </c>
      <c r="AE195" s="5">
        <v>1124.8</v>
      </c>
      <c r="AF195" s="5">
        <v>1124.8</v>
      </c>
    </row>
    <row r="196" spans="1:32" hidden="1" x14ac:dyDescent="0.2">
      <c r="A196">
        <v>2808</v>
      </c>
      <c r="B196">
        <v>2148</v>
      </c>
      <c r="C196">
        <v>1</v>
      </c>
      <c r="D196">
        <v>19</v>
      </c>
      <c r="E196" s="5" t="s">
        <v>112</v>
      </c>
      <c r="F196" s="5" t="s">
        <v>3</v>
      </c>
      <c r="G196" s="5" t="s">
        <v>99</v>
      </c>
      <c r="H196" s="5" t="s">
        <v>25</v>
      </c>
      <c r="I196" s="5"/>
      <c r="J196" s="5" t="s">
        <v>100</v>
      </c>
      <c r="K196" s="5"/>
      <c r="L196" s="5" t="s">
        <v>101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</row>
    <row r="197" spans="1:32" hidden="1" x14ac:dyDescent="0.2">
      <c r="A197">
        <v>2808</v>
      </c>
      <c r="B197">
        <v>1593</v>
      </c>
      <c r="C197">
        <v>1</v>
      </c>
      <c r="D197">
        <v>19</v>
      </c>
      <c r="E197" s="5" t="s">
        <v>112</v>
      </c>
      <c r="F197" s="5" t="s">
        <v>102</v>
      </c>
      <c r="G197" s="5" t="s">
        <v>99</v>
      </c>
      <c r="H197" s="5" t="s">
        <v>25</v>
      </c>
      <c r="I197" s="5"/>
      <c r="J197" s="5" t="s">
        <v>103</v>
      </c>
      <c r="K197" s="5"/>
      <c r="L197" s="5" t="s">
        <v>101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</row>
    <row r="198" spans="1:32" hidden="1" x14ac:dyDescent="0.2">
      <c r="A198">
        <v>2808</v>
      </c>
      <c r="B198">
        <v>2148</v>
      </c>
      <c r="C198">
        <v>1</v>
      </c>
      <c r="D198">
        <v>16</v>
      </c>
      <c r="E198" s="5" t="s">
        <v>112</v>
      </c>
      <c r="F198" s="5" t="s">
        <v>3</v>
      </c>
      <c r="G198" s="5" t="s">
        <v>99</v>
      </c>
      <c r="H198" s="5" t="s">
        <v>27</v>
      </c>
      <c r="I198" s="5"/>
      <c r="J198" s="5" t="s">
        <v>100</v>
      </c>
      <c r="K198" s="5"/>
      <c r="L198" s="5" t="s">
        <v>101</v>
      </c>
      <c r="M198" s="5">
        <v>1692</v>
      </c>
      <c r="N198" s="5">
        <v>1936</v>
      </c>
      <c r="O198" s="5">
        <v>1910</v>
      </c>
      <c r="P198" s="5">
        <v>2017</v>
      </c>
      <c r="Q198" s="5">
        <v>2361</v>
      </c>
      <c r="R198" s="5">
        <v>1986</v>
      </c>
      <c r="S198" s="5">
        <v>1571</v>
      </c>
      <c r="T198" s="5">
        <v>890</v>
      </c>
      <c r="U198" s="5">
        <v>825</v>
      </c>
      <c r="V198" s="5">
        <v>841</v>
      </c>
      <c r="W198" s="5">
        <v>818</v>
      </c>
      <c r="X198" s="5">
        <v>839</v>
      </c>
      <c r="Y198" s="5">
        <v>837</v>
      </c>
      <c r="Z198" s="5">
        <v>876</v>
      </c>
      <c r="AA198" s="5">
        <v>871</v>
      </c>
      <c r="AB198" s="5">
        <v>851</v>
      </c>
      <c r="AC198" s="5">
        <v>882</v>
      </c>
      <c r="AD198" s="5">
        <v>920</v>
      </c>
      <c r="AE198" s="5">
        <v>920</v>
      </c>
      <c r="AF198" s="5">
        <v>920</v>
      </c>
    </row>
    <row r="199" spans="1:32" hidden="1" x14ac:dyDescent="0.2">
      <c r="A199">
        <v>2808</v>
      </c>
      <c r="B199">
        <v>1593</v>
      </c>
      <c r="C199">
        <v>1</v>
      </c>
      <c r="D199">
        <v>16</v>
      </c>
      <c r="E199" s="5" t="s">
        <v>112</v>
      </c>
      <c r="F199" s="5" t="s">
        <v>102</v>
      </c>
      <c r="G199" s="5" t="s">
        <v>99</v>
      </c>
      <c r="H199" s="5" t="s">
        <v>27</v>
      </c>
      <c r="I199" s="5"/>
      <c r="J199" s="5" t="s">
        <v>103</v>
      </c>
      <c r="K199" s="5"/>
      <c r="L199" s="5" t="s">
        <v>101</v>
      </c>
      <c r="M199" s="5">
        <v>287</v>
      </c>
      <c r="N199" s="5">
        <v>305</v>
      </c>
      <c r="O199" s="5">
        <v>315</v>
      </c>
      <c r="P199" s="5">
        <v>323</v>
      </c>
      <c r="Q199" s="5">
        <v>408</v>
      </c>
      <c r="R199" s="5">
        <v>370</v>
      </c>
      <c r="S199" s="5">
        <v>285</v>
      </c>
      <c r="T199" s="5">
        <v>180</v>
      </c>
      <c r="U199" s="5">
        <v>180</v>
      </c>
      <c r="V199" s="5">
        <v>180</v>
      </c>
      <c r="W199" s="5">
        <v>180</v>
      </c>
      <c r="X199" s="5">
        <v>180</v>
      </c>
      <c r="Y199" s="5">
        <v>180</v>
      </c>
      <c r="Z199" s="5">
        <v>180</v>
      </c>
      <c r="AA199" s="5">
        <v>180</v>
      </c>
      <c r="AB199" s="5">
        <v>180</v>
      </c>
      <c r="AC199" s="5">
        <v>180</v>
      </c>
      <c r="AD199" s="5">
        <v>180</v>
      </c>
      <c r="AE199" s="5">
        <v>260</v>
      </c>
      <c r="AF199" s="5">
        <v>260</v>
      </c>
    </row>
    <row r="200" spans="1:32" hidden="1" x14ac:dyDescent="0.2">
      <c r="A200">
        <v>2808</v>
      </c>
      <c r="B200">
        <v>2148</v>
      </c>
      <c r="C200">
        <v>1</v>
      </c>
      <c r="D200">
        <v>11</v>
      </c>
      <c r="E200" s="5" t="s">
        <v>112</v>
      </c>
      <c r="F200" s="5" t="s">
        <v>3</v>
      </c>
      <c r="G200" s="5" t="s">
        <v>99</v>
      </c>
      <c r="H200" s="5" t="s">
        <v>28</v>
      </c>
      <c r="I200" s="5"/>
      <c r="J200" s="5" t="s">
        <v>100</v>
      </c>
      <c r="K200" s="5"/>
      <c r="L200" s="5" t="s">
        <v>101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</row>
    <row r="201" spans="1:32" hidden="1" x14ac:dyDescent="0.2">
      <c r="A201">
        <v>2808</v>
      </c>
      <c r="B201">
        <v>1593</v>
      </c>
      <c r="C201">
        <v>1</v>
      </c>
      <c r="D201">
        <v>11</v>
      </c>
      <c r="E201" s="5" t="s">
        <v>112</v>
      </c>
      <c r="F201" s="5" t="s">
        <v>102</v>
      </c>
      <c r="G201" s="5" t="s">
        <v>99</v>
      </c>
      <c r="H201" s="5" t="s">
        <v>28</v>
      </c>
      <c r="I201" s="5"/>
      <c r="J201" s="5" t="s">
        <v>103</v>
      </c>
      <c r="K201" s="5"/>
      <c r="L201" s="5" t="s">
        <v>101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</row>
    <row r="202" spans="1:32" hidden="1" x14ac:dyDescent="0.2">
      <c r="A202">
        <v>2808</v>
      </c>
      <c r="B202">
        <v>2148</v>
      </c>
      <c r="C202">
        <v>1</v>
      </c>
      <c r="D202">
        <v>14</v>
      </c>
      <c r="E202" s="5" t="s">
        <v>112</v>
      </c>
      <c r="F202" s="5" t="s">
        <v>3</v>
      </c>
      <c r="G202" s="5" t="s">
        <v>99</v>
      </c>
      <c r="H202" s="5" t="s">
        <v>1</v>
      </c>
      <c r="I202" s="5"/>
      <c r="J202" s="5" t="s">
        <v>100</v>
      </c>
      <c r="K202" s="5"/>
      <c r="L202" s="5" t="s">
        <v>101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</row>
    <row r="203" spans="1:32" hidden="1" x14ac:dyDescent="0.2">
      <c r="A203">
        <v>2808</v>
      </c>
      <c r="B203">
        <v>1593</v>
      </c>
      <c r="C203">
        <v>1</v>
      </c>
      <c r="D203">
        <v>14</v>
      </c>
      <c r="E203" s="5" t="s">
        <v>112</v>
      </c>
      <c r="F203" s="5" t="s">
        <v>102</v>
      </c>
      <c r="G203" s="5" t="s">
        <v>99</v>
      </c>
      <c r="H203" s="5" t="s">
        <v>1</v>
      </c>
      <c r="I203" s="5"/>
      <c r="J203" s="5" t="s">
        <v>103</v>
      </c>
      <c r="K203" s="5"/>
      <c r="L203" s="5" t="s">
        <v>101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</row>
    <row r="204" spans="1:32" hidden="1" x14ac:dyDescent="0.2">
      <c r="A204">
        <v>2858</v>
      </c>
      <c r="B204">
        <v>2148</v>
      </c>
      <c r="C204">
        <v>1</v>
      </c>
      <c r="D204">
        <v>15</v>
      </c>
      <c r="E204" s="5" t="s">
        <v>113</v>
      </c>
      <c r="F204" s="5" t="s">
        <v>3</v>
      </c>
      <c r="G204" s="5" t="s">
        <v>99</v>
      </c>
      <c r="H204" s="5" t="s">
        <v>15</v>
      </c>
      <c r="I204" s="5"/>
      <c r="J204" s="5" t="s">
        <v>100</v>
      </c>
      <c r="K204" s="5"/>
      <c r="L204" s="5" t="s">
        <v>101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</row>
    <row r="205" spans="1:32" hidden="1" x14ac:dyDescent="0.2">
      <c r="A205">
        <v>2858</v>
      </c>
      <c r="B205">
        <v>1593</v>
      </c>
      <c r="C205">
        <v>1</v>
      </c>
      <c r="D205">
        <v>15</v>
      </c>
      <c r="E205" s="5" t="s">
        <v>113</v>
      </c>
      <c r="F205" s="5" t="s">
        <v>102</v>
      </c>
      <c r="G205" s="5" t="s">
        <v>99</v>
      </c>
      <c r="H205" s="5" t="s">
        <v>15</v>
      </c>
      <c r="I205" s="5"/>
      <c r="J205" s="5" t="s">
        <v>103</v>
      </c>
      <c r="K205" s="5"/>
      <c r="L205" s="5" t="s">
        <v>101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</row>
    <row r="206" spans="1:32" hidden="1" x14ac:dyDescent="0.2">
      <c r="A206">
        <v>2858</v>
      </c>
      <c r="B206">
        <v>2148</v>
      </c>
      <c r="C206">
        <v>1</v>
      </c>
      <c r="D206">
        <v>6</v>
      </c>
      <c r="E206" s="5" t="s">
        <v>113</v>
      </c>
      <c r="F206" s="5" t="s">
        <v>3</v>
      </c>
      <c r="G206" s="5" t="s">
        <v>99</v>
      </c>
      <c r="H206" s="5" t="s">
        <v>17</v>
      </c>
      <c r="I206" s="5"/>
      <c r="J206" s="5" t="s">
        <v>100</v>
      </c>
      <c r="K206" s="5"/>
      <c r="L206" s="5" t="s">
        <v>101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</row>
    <row r="207" spans="1:32" hidden="1" x14ac:dyDescent="0.2">
      <c r="A207">
        <v>2858</v>
      </c>
      <c r="B207">
        <v>1593</v>
      </c>
      <c r="C207">
        <v>1</v>
      </c>
      <c r="D207">
        <v>6</v>
      </c>
      <c r="E207" s="5" t="s">
        <v>113</v>
      </c>
      <c r="F207" s="5" t="s">
        <v>102</v>
      </c>
      <c r="G207" s="5" t="s">
        <v>99</v>
      </c>
      <c r="H207" s="5" t="s">
        <v>17</v>
      </c>
      <c r="I207" s="5"/>
      <c r="J207" s="5" t="s">
        <v>103</v>
      </c>
      <c r="K207" s="5"/>
      <c r="L207" s="5" t="s">
        <v>101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</row>
    <row r="208" spans="1:32" hidden="1" x14ac:dyDescent="0.2">
      <c r="A208">
        <v>2858</v>
      </c>
      <c r="B208">
        <v>2148</v>
      </c>
      <c r="C208">
        <v>1</v>
      </c>
      <c r="D208">
        <v>1</v>
      </c>
      <c r="E208" s="5" t="s">
        <v>113</v>
      </c>
      <c r="F208" s="5" t="s">
        <v>3</v>
      </c>
      <c r="G208" s="5" t="s">
        <v>99</v>
      </c>
      <c r="H208" s="5" t="s">
        <v>19</v>
      </c>
      <c r="I208" s="5"/>
      <c r="J208" s="5" t="s">
        <v>100</v>
      </c>
      <c r="K208" s="5"/>
      <c r="L208" s="5" t="s">
        <v>101</v>
      </c>
      <c r="M208" s="5">
        <v>0</v>
      </c>
      <c r="N208" s="5">
        <v>0</v>
      </c>
      <c r="O208" s="5">
        <v>121</v>
      </c>
      <c r="P208" s="5">
        <v>0</v>
      </c>
      <c r="Q208" s="5">
        <v>0</v>
      </c>
      <c r="R208" s="5">
        <v>74</v>
      </c>
      <c r="S208" s="5">
        <v>48</v>
      </c>
      <c r="T208" s="5">
        <v>55</v>
      </c>
      <c r="U208" s="5">
        <v>382</v>
      </c>
      <c r="V208" s="5">
        <v>51</v>
      </c>
      <c r="W208" s="5">
        <v>1233</v>
      </c>
      <c r="X208" s="5">
        <v>2451</v>
      </c>
      <c r="Y208" s="5">
        <v>82</v>
      </c>
      <c r="Z208" s="5">
        <v>198.4</v>
      </c>
      <c r="AA208" s="5">
        <v>6417.4</v>
      </c>
      <c r="AB208" s="5">
        <v>9258.9</v>
      </c>
      <c r="AC208" s="5">
        <v>10353</v>
      </c>
      <c r="AD208" s="5">
        <v>10806</v>
      </c>
      <c r="AE208" s="5">
        <v>10295</v>
      </c>
      <c r="AF208" s="5">
        <v>10748</v>
      </c>
    </row>
    <row r="209" spans="1:32" x14ac:dyDescent="0.2">
      <c r="A209">
        <v>2858</v>
      </c>
      <c r="B209">
        <v>1593</v>
      </c>
      <c r="C209">
        <v>1</v>
      </c>
      <c r="D209">
        <v>1</v>
      </c>
      <c r="E209" s="5" t="s">
        <v>113</v>
      </c>
      <c r="F209" s="5" t="s">
        <v>102</v>
      </c>
      <c r="G209" s="5" t="s">
        <v>99</v>
      </c>
      <c r="H209" s="5" t="s">
        <v>19</v>
      </c>
      <c r="I209" s="5"/>
      <c r="J209" s="5" t="s">
        <v>103</v>
      </c>
      <c r="K209" s="5"/>
      <c r="L209" s="5" t="s">
        <v>101</v>
      </c>
      <c r="M209" s="5">
        <v>3</v>
      </c>
      <c r="N209" s="5">
        <v>21</v>
      </c>
      <c r="O209" s="5">
        <v>33</v>
      </c>
      <c r="P209" s="5">
        <v>66.84</v>
      </c>
      <c r="Q209" s="5">
        <v>71</v>
      </c>
      <c r="R209" s="5">
        <v>92.84</v>
      </c>
      <c r="S209" s="5">
        <v>169.54</v>
      </c>
      <c r="T209" s="5">
        <v>198.74</v>
      </c>
      <c r="U209" s="5">
        <v>448.12</v>
      </c>
      <c r="V209" s="5">
        <v>610.74</v>
      </c>
      <c r="W209" s="5">
        <v>818.74</v>
      </c>
      <c r="X209" s="5">
        <v>1852.74</v>
      </c>
      <c r="Y209" s="5">
        <v>2406.9699999999998</v>
      </c>
      <c r="Z209" s="5">
        <v>2357.66</v>
      </c>
      <c r="AA209" s="5">
        <v>2842.03</v>
      </c>
      <c r="AB209" s="5">
        <v>3177.93</v>
      </c>
      <c r="AC209" s="5">
        <v>3218.87</v>
      </c>
      <c r="AD209" s="5">
        <v>2976.47</v>
      </c>
      <c r="AE209" s="5">
        <v>2689.32</v>
      </c>
      <c r="AF209" s="5">
        <v>2889.82</v>
      </c>
    </row>
    <row r="210" spans="1:32" hidden="1" x14ac:dyDescent="0.2">
      <c r="A210">
        <v>2858</v>
      </c>
      <c r="B210">
        <v>2148</v>
      </c>
      <c r="C210">
        <v>1</v>
      </c>
      <c r="D210">
        <v>13</v>
      </c>
      <c r="E210" s="5" t="s">
        <v>113</v>
      </c>
      <c r="F210" s="5" t="s">
        <v>3</v>
      </c>
      <c r="G210" s="5" t="s">
        <v>99</v>
      </c>
      <c r="H210" s="5" t="s">
        <v>20</v>
      </c>
      <c r="I210" s="5"/>
      <c r="J210" s="5" t="s">
        <v>100</v>
      </c>
      <c r="K210" s="5"/>
      <c r="L210" s="5" t="s">
        <v>101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</row>
    <row r="211" spans="1:32" hidden="1" x14ac:dyDescent="0.2">
      <c r="A211">
        <v>2858</v>
      </c>
      <c r="B211">
        <v>1593</v>
      </c>
      <c r="C211">
        <v>1</v>
      </c>
      <c r="D211">
        <v>13</v>
      </c>
      <c r="E211" s="5" t="s">
        <v>113</v>
      </c>
      <c r="F211" s="5" t="s">
        <v>102</v>
      </c>
      <c r="G211" s="5" t="s">
        <v>99</v>
      </c>
      <c r="H211" s="5" t="s">
        <v>20</v>
      </c>
      <c r="I211" s="5"/>
      <c r="J211" s="5" t="s">
        <v>103</v>
      </c>
      <c r="K211" s="5"/>
      <c r="L211" s="5" t="s">
        <v>101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</row>
    <row r="212" spans="1:32" hidden="1" x14ac:dyDescent="0.2">
      <c r="A212">
        <v>2858</v>
      </c>
      <c r="B212">
        <v>2148</v>
      </c>
      <c r="C212">
        <v>1</v>
      </c>
      <c r="D212">
        <v>17</v>
      </c>
      <c r="E212" s="5" t="s">
        <v>113</v>
      </c>
      <c r="F212" s="5" t="s">
        <v>3</v>
      </c>
      <c r="G212" s="5" t="s">
        <v>99</v>
      </c>
      <c r="H212" s="5" t="s">
        <v>22</v>
      </c>
      <c r="I212" s="5"/>
      <c r="J212" s="5" t="s">
        <v>100</v>
      </c>
      <c r="K212" s="5"/>
      <c r="L212" s="5" t="s">
        <v>101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</row>
    <row r="213" spans="1:32" hidden="1" x14ac:dyDescent="0.2">
      <c r="A213">
        <v>2858</v>
      </c>
      <c r="B213">
        <v>1593</v>
      </c>
      <c r="C213">
        <v>1</v>
      </c>
      <c r="D213">
        <v>17</v>
      </c>
      <c r="E213" s="5" t="s">
        <v>113</v>
      </c>
      <c r="F213" s="5" t="s">
        <v>102</v>
      </c>
      <c r="G213" s="5" t="s">
        <v>99</v>
      </c>
      <c r="H213" s="5" t="s">
        <v>22</v>
      </c>
      <c r="I213" s="5"/>
      <c r="J213" s="5" t="s">
        <v>103</v>
      </c>
      <c r="K213" s="5"/>
      <c r="L213" s="5" t="s">
        <v>101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</row>
    <row r="214" spans="1:32" hidden="1" x14ac:dyDescent="0.2">
      <c r="A214">
        <v>2858</v>
      </c>
      <c r="B214">
        <v>2148</v>
      </c>
      <c r="C214">
        <v>1</v>
      </c>
      <c r="D214">
        <v>12</v>
      </c>
      <c r="E214" s="5" t="s">
        <v>113</v>
      </c>
      <c r="F214" s="5" t="s">
        <v>3</v>
      </c>
      <c r="G214" s="5" t="s">
        <v>99</v>
      </c>
      <c r="H214" s="5" t="s">
        <v>23</v>
      </c>
      <c r="I214" s="5"/>
      <c r="J214" s="5" t="s">
        <v>100</v>
      </c>
      <c r="K214" s="5"/>
      <c r="L214" s="5" t="s">
        <v>101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219.23</v>
      </c>
      <c r="V214" s="5">
        <v>356.34</v>
      </c>
      <c r="W214" s="5">
        <v>448.39</v>
      </c>
      <c r="X214" s="5">
        <v>556.92999999999995</v>
      </c>
      <c r="Y214" s="5">
        <v>577.69000000000005</v>
      </c>
      <c r="Z214" s="5">
        <v>650.63</v>
      </c>
      <c r="AA214" s="5">
        <v>859.14</v>
      </c>
      <c r="AB214" s="5">
        <v>1040.9000000000001</v>
      </c>
      <c r="AC214" s="5">
        <v>0</v>
      </c>
      <c r="AD214" s="5">
        <v>0</v>
      </c>
      <c r="AE214" s="5">
        <v>729.84</v>
      </c>
      <c r="AF214" s="5">
        <v>631.5</v>
      </c>
    </row>
    <row r="215" spans="1:32" hidden="1" x14ac:dyDescent="0.2">
      <c r="A215">
        <v>2858</v>
      </c>
      <c r="B215">
        <v>1593</v>
      </c>
      <c r="C215">
        <v>1</v>
      </c>
      <c r="D215">
        <v>12</v>
      </c>
      <c r="E215" s="5" t="s">
        <v>113</v>
      </c>
      <c r="F215" s="5" t="s">
        <v>102</v>
      </c>
      <c r="G215" s="5" t="s">
        <v>99</v>
      </c>
      <c r="H215" s="5" t="s">
        <v>23</v>
      </c>
      <c r="I215" s="5"/>
      <c r="J215" s="5" t="s">
        <v>103</v>
      </c>
      <c r="K215" s="5"/>
      <c r="L215" s="5" t="s">
        <v>101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80.23</v>
      </c>
      <c r="V215" s="5">
        <v>132.22999999999999</v>
      </c>
      <c r="W215" s="5">
        <v>159.22999999999999</v>
      </c>
      <c r="X215" s="5">
        <v>589.54999999999995</v>
      </c>
      <c r="Y215" s="5">
        <v>589.54999999999995</v>
      </c>
      <c r="Z215" s="5">
        <v>679.78</v>
      </c>
      <c r="AA215" s="5">
        <v>821.98</v>
      </c>
      <c r="AB215" s="5">
        <v>313.505</v>
      </c>
      <c r="AC215" s="5">
        <v>0</v>
      </c>
      <c r="AD215" s="5">
        <v>0</v>
      </c>
      <c r="AE215" s="5">
        <v>881.6</v>
      </c>
      <c r="AF215" s="5">
        <v>881.6</v>
      </c>
    </row>
    <row r="216" spans="1:32" hidden="1" x14ac:dyDescent="0.2">
      <c r="A216">
        <v>2858</v>
      </c>
      <c r="B216">
        <v>2148</v>
      </c>
      <c r="C216">
        <v>1</v>
      </c>
      <c r="D216">
        <v>19</v>
      </c>
      <c r="E216" s="5" t="s">
        <v>113</v>
      </c>
      <c r="F216" s="5" t="s">
        <v>3</v>
      </c>
      <c r="G216" s="5" t="s">
        <v>99</v>
      </c>
      <c r="H216" s="5" t="s">
        <v>25</v>
      </c>
      <c r="I216" s="5"/>
      <c r="J216" s="5" t="s">
        <v>100</v>
      </c>
      <c r="K216" s="5"/>
      <c r="L216" s="5" t="s">
        <v>101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</row>
    <row r="217" spans="1:32" hidden="1" x14ac:dyDescent="0.2">
      <c r="A217">
        <v>2858</v>
      </c>
      <c r="B217">
        <v>1593</v>
      </c>
      <c r="C217">
        <v>1</v>
      </c>
      <c r="D217">
        <v>19</v>
      </c>
      <c r="E217" s="5" t="s">
        <v>113</v>
      </c>
      <c r="F217" s="5" t="s">
        <v>102</v>
      </c>
      <c r="G217" s="5" t="s">
        <v>99</v>
      </c>
      <c r="H217" s="5" t="s">
        <v>25</v>
      </c>
      <c r="I217" s="5"/>
      <c r="J217" s="5" t="s">
        <v>103</v>
      </c>
      <c r="K217" s="5"/>
      <c r="L217" s="5" t="s">
        <v>101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</row>
    <row r="218" spans="1:32" hidden="1" x14ac:dyDescent="0.2">
      <c r="A218">
        <v>2858</v>
      </c>
      <c r="B218">
        <v>2148</v>
      </c>
      <c r="C218">
        <v>1</v>
      </c>
      <c r="D218">
        <v>16</v>
      </c>
      <c r="E218" s="5" t="s">
        <v>113</v>
      </c>
      <c r="F218" s="5" t="s">
        <v>3</v>
      </c>
      <c r="G218" s="5" t="s">
        <v>99</v>
      </c>
      <c r="H218" s="5" t="s">
        <v>27</v>
      </c>
      <c r="I218" s="5"/>
      <c r="J218" s="5" t="s">
        <v>100</v>
      </c>
      <c r="K218" s="5"/>
      <c r="L218" s="5" t="s">
        <v>101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</row>
    <row r="219" spans="1:32" hidden="1" x14ac:dyDescent="0.2">
      <c r="A219">
        <v>2858</v>
      </c>
      <c r="B219">
        <v>1593</v>
      </c>
      <c r="C219">
        <v>1</v>
      </c>
      <c r="D219">
        <v>16</v>
      </c>
      <c r="E219" s="5" t="s">
        <v>113</v>
      </c>
      <c r="F219" s="5" t="s">
        <v>102</v>
      </c>
      <c r="G219" s="5" t="s">
        <v>99</v>
      </c>
      <c r="H219" s="5" t="s">
        <v>27</v>
      </c>
      <c r="I219" s="5"/>
      <c r="J219" s="5" t="s">
        <v>103</v>
      </c>
      <c r="K219" s="5"/>
      <c r="L219" s="5" t="s">
        <v>101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</row>
    <row r="220" spans="1:32" hidden="1" x14ac:dyDescent="0.2">
      <c r="A220">
        <v>2858</v>
      </c>
      <c r="B220">
        <v>2148</v>
      </c>
      <c r="C220">
        <v>1</v>
      </c>
      <c r="D220">
        <v>11</v>
      </c>
      <c r="E220" s="5" t="s">
        <v>113</v>
      </c>
      <c r="F220" s="5" t="s">
        <v>3</v>
      </c>
      <c r="G220" s="5" t="s">
        <v>99</v>
      </c>
      <c r="H220" s="5" t="s">
        <v>28</v>
      </c>
      <c r="I220" s="5"/>
      <c r="J220" s="5" t="s">
        <v>100</v>
      </c>
      <c r="K220" s="5"/>
      <c r="L220" s="5" t="s">
        <v>101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</row>
    <row r="221" spans="1:32" hidden="1" x14ac:dyDescent="0.2">
      <c r="A221">
        <v>2858</v>
      </c>
      <c r="B221">
        <v>1593</v>
      </c>
      <c r="C221">
        <v>1</v>
      </c>
      <c r="D221">
        <v>11</v>
      </c>
      <c r="E221" s="5" t="s">
        <v>113</v>
      </c>
      <c r="F221" s="5" t="s">
        <v>102</v>
      </c>
      <c r="G221" s="5" t="s">
        <v>99</v>
      </c>
      <c r="H221" s="5" t="s">
        <v>28</v>
      </c>
      <c r="I221" s="5"/>
      <c r="J221" s="5" t="s">
        <v>103</v>
      </c>
      <c r="K221" s="5"/>
      <c r="L221" s="5" t="s">
        <v>101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</row>
    <row r="222" spans="1:32" hidden="1" x14ac:dyDescent="0.2">
      <c r="A222">
        <v>2858</v>
      </c>
      <c r="B222">
        <v>2148</v>
      </c>
      <c r="C222">
        <v>1</v>
      </c>
      <c r="D222">
        <v>14</v>
      </c>
      <c r="E222" s="5" t="s">
        <v>113</v>
      </c>
      <c r="F222" s="5" t="s">
        <v>3</v>
      </c>
      <c r="G222" s="5" t="s">
        <v>99</v>
      </c>
      <c r="H222" s="5" t="s">
        <v>1</v>
      </c>
      <c r="I222" s="5"/>
      <c r="J222" s="5" t="s">
        <v>100</v>
      </c>
      <c r="K222" s="5"/>
      <c r="L222" s="5" t="s">
        <v>101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</row>
    <row r="223" spans="1:32" hidden="1" x14ac:dyDescent="0.2">
      <c r="A223">
        <v>2858</v>
      </c>
      <c r="B223">
        <v>1593</v>
      </c>
      <c r="C223">
        <v>1</v>
      </c>
      <c r="D223">
        <v>14</v>
      </c>
      <c r="E223" s="5" t="s">
        <v>113</v>
      </c>
      <c r="F223" s="5" t="s">
        <v>102</v>
      </c>
      <c r="G223" s="5" t="s">
        <v>99</v>
      </c>
      <c r="H223" s="5" t="s">
        <v>1</v>
      </c>
      <c r="I223" s="5"/>
      <c r="J223" s="5" t="s">
        <v>103</v>
      </c>
      <c r="K223" s="5"/>
      <c r="L223" s="5" t="s">
        <v>101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</row>
    <row r="224" spans="1:32" hidden="1" x14ac:dyDescent="0.2">
      <c r="A224">
        <v>2924</v>
      </c>
      <c r="B224">
        <v>2148</v>
      </c>
      <c r="C224">
        <v>1</v>
      </c>
      <c r="D224">
        <v>15</v>
      </c>
      <c r="E224" s="5" t="s">
        <v>114</v>
      </c>
      <c r="F224" s="5" t="s">
        <v>3</v>
      </c>
      <c r="G224" s="5" t="s">
        <v>99</v>
      </c>
      <c r="H224" s="5" t="s">
        <v>15</v>
      </c>
      <c r="I224" s="5"/>
      <c r="J224" s="5" t="s">
        <v>100</v>
      </c>
      <c r="K224" s="5"/>
      <c r="L224" s="5" t="s">
        <v>101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</row>
    <row r="225" spans="1:32" hidden="1" x14ac:dyDescent="0.2">
      <c r="A225">
        <v>2924</v>
      </c>
      <c r="B225">
        <v>1593</v>
      </c>
      <c r="C225">
        <v>1</v>
      </c>
      <c r="D225">
        <v>15</v>
      </c>
      <c r="E225" s="5" t="s">
        <v>114</v>
      </c>
      <c r="F225" s="5" t="s">
        <v>102</v>
      </c>
      <c r="G225" s="5" t="s">
        <v>99</v>
      </c>
      <c r="H225" s="5" t="s">
        <v>15</v>
      </c>
      <c r="I225" s="5"/>
      <c r="J225" s="5" t="s">
        <v>103</v>
      </c>
      <c r="K225" s="5"/>
      <c r="L225" s="5" t="s">
        <v>101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</row>
    <row r="226" spans="1:32" hidden="1" x14ac:dyDescent="0.2">
      <c r="A226">
        <v>2924</v>
      </c>
      <c r="B226">
        <v>2148</v>
      </c>
      <c r="C226">
        <v>1</v>
      </c>
      <c r="D226">
        <v>6</v>
      </c>
      <c r="E226" s="5" t="s">
        <v>114</v>
      </c>
      <c r="F226" s="5" t="s">
        <v>3</v>
      </c>
      <c r="G226" s="5" t="s">
        <v>99</v>
      </c>
      <c r="H226" s="5" t="s">
        <v>17</v>
      </c>
      <c r="I226" s="5"/>
      <c r="J226" s="5" t="s">
        <v>100</v>
      </c>
      <c r="K226" s="5"/>
      <c r="L226" s="5" t="s">
        <v>101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</row>
    <row r="227" spans="1:32" hidden="1" x14ac:dyDescent="0.2">
      <c r="A227">
        <v>2924</v>
      </c>
      <c r="B227">
        <v>1593</v>
      </c>
      <c r="C227">
        <v>1</v>
      </c>
      <c r="D227">
        <v>6</v>
      </c>
      <c r="E227" s="5" t="s">
        <v>114</v>
      </c>
      <c r="F227" s="5" t="s">
        <v>102</v>
      </c>
      <c r="G227" s="5" t="s">
        <v>99</v>
      </c>
      <c r="H227" s="5" t="s">
        <v>17</v>
      </c>
      <c r="I227" s="5"/>
      <c r="J227" s="5" t="s">
        <v>103</v>
      </c>
      <c r="K227" s="5"/>
      <c r="L227" s="5" t="s">
        <v>101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</row>
    <row r="228" spans="1:32" hidden="1" x14ac:dyDescent="0.2">
      <c r="A228">
        <v>2924</v>
      </c>
      <c r="B228">
        <v>2148</v>
      </c>
      <c r="C228">
        <v>1</v>
      </c>
      <c r="D228">
        <v>1</v>
      </c>
      <c r="E228" s="5" t="s">
        <v>114</v>
      </c>
      <c r="F228" s="5" t="s">
        <v>3</v>
      </c>
      <c r="G228" s="5" t="s">
        <v>99</v>
      </c>
      <c r="H228" s="5" t="s">
        <v>19</v>
      </c>
      <c r="I228" s="5"/>
      <c r="J228" s="5" t="s">
        <v>100</v>
      </c>
      <c r="K228" s="5"/>
      <c r="L228" s="5" t="s">
        <v>101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</row>
    <row r="229" spans="1:32" x14ac:dyDescent="0.2">
      <c r="A229">
        <v>2924</v>
      </c>
      <c r="B229">
        <v>1593</v>
      </c>
      <c r="C229">
        <v>1</v>
      </c>
      <c r="D229">
        <v>1</v>
      </c>
      <c r="E229" s="5" t="s">
        <v>114</v>
      </c>
      <c r="F229" s="5" t="s">
        <v>102</v>
      </c>
      <c r="G229" s="5" t="s">
        <v>99</v>
      </c>
      <c r="H229" s="5" t="s">
        <v>19</v>
      </c>
      <c r="I229" s="5"/>
      <c r="J229" s="5" t="s">
        <v>103</v>
      </c>
      <c r="K229" s="5"/>
      <c r="L229" s="5" t="s">
        <v>101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</row>
    <row r="230" spans="1:32" hidden="1" x14ac:dyDescent="0.2">
      <c r="A230">
        <v>2924</v>
      </c>
      <c r="B230">
        <v>2148</v>
      </c>
      <c r="C230">
        <v>1</v>
      </c>
      <c r="D230">
        <v>13</v>
      </c>
      <c r="E230" s="5" t="s">
        <v>114</v>
      </c>
      <c r="F230" s="5" t="s">
        <v>3</v>
      </c>
      <c r="G230" s="5" t="s">
        <v>99</v>
      </c>
      <c r="H230" s="5" t="s">
        <v>20</v>
      </c>
      <c r="I230" s="5"/>
      <c r="J230" s="5" t="s">
        <v>100</v>
      </c>
      <c r="K230" s="5"/>
      <c r="L230" s="5" t="s">
        <v>101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</row>
    <row r="231" spans="1:32" hidden="1" x14ac:dyDescent="0.2">
      <c r="A231">
        <v>2924</v>
      </c>
      <c r="B231">
        <v>1593</v>
      </c>
      <c r="C231">
        <v>1</v>
      </c>
      <c r="D231">
        <v>13</v>
      </c>
      <c r="E231" s="5" t="s">
        <v>114</v>
      </c>
      <c r="F231" s="5" t="s">
        <v>102</v>
      </c>
      <c r="G231" s="5" t="s">
        <v>99</v>
      </c>
      <c r="H231" s="5" t="s">
        <v>20</v>
      </c>
      <c r="I231" s="5"/>
      <c r="J231" s="5" t="s">
        <v>103</v>
      </c>
      <c r="K231" s="5"/>
      <c r="L231" s="5" t="s">
        <v>101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</row>
    <row r="232" spans="1:32" hidden="1" x14ac:dyDescent="0.2">
      <c r="A232">
        <v>2924</v>
      </c>
      <c r="B232">
        <v>2148</v>
      </c>
      <c r="C232">
        <v>1</v>
      </c>
      <c r="D232">
        <v>17</v>
      </c>
      <c r="E232" s="5" t="s">
        <v>114</v>
      </c>
      <c r="F232" s="5" t="s">
        <v>3</v>
      </c>
      <c r="G232" s="5" t="s">
        <v>99</v>
      </c>
      <c r="H232" s="5" t="s">
        <v>22</v>
      </c>
      <c r="I232" s="5"/>
      <c r="J232" s="5" t="s">
        <v>100</v>
      </c>
      <c r="K232" s="5"/>
      <c r="L232" s="5" t="s">
        <v>101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</row>
    <row r="233" spans="1:32" hidden="1" x14ac:dyDescent="0.2">
      <c r="A233">
        <v>2924</v>
      </c>
      <c r="B233">
        <v>1593</v>
      </c>
      <c r="C233">
        <v>1</v>
      </c>
      <c r="D233">
        <v>17</v>
      </c>
      <c r="E233" s="5" t="s">
        <v>114</v>
      </c>
      <c r="F233" s="5" t="s">
        <v>102</v>
      </c>
      <c r="G233" s="5" t="s">
        <v>99</v>
      </c>
      <c r="H233" s="5" t="s">
        <v>22</v>
      </c>
      <c r="I233" s="5"/>
      <c r="J233" s="5" t="s">
        <v>103</v>
      </c>
      <c r="K233" s="5"/>
      <c r="L233" s="5" t="s">
        <v>101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</row>
    <row r="234" spans="1:32" hidden="1" x14ac:dyDescent="0.2">
      <c r="A234">
        <v>2924</v>
      </c>
      <c r="B234">
        <v>2148</v>
      </c>
      <c r="C234">
        <v>1</v>
      </c>
      <c r="D234">
        <v>12</v>
      </c>
      <c r="E234" s="5" t="s">
        <v>114</v>
      </c>
      <c r="F234" s="5" t="s">
        <v>3</v>
      </c>
      <c r="G234" s="5" t="s">
        <v>99</v>
      </c>
      <c r="H234" s="5" t="s">
        <v>23</v>
      </c>
      <c r="I234" s="5"/>
      <c r="J234" s="5" t="s">
        <v>100</v>
      </c>
      <c r="K234" s="5"/>
      <c r="L234" s="5" t="s">
        <v>101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</row>
    <row r="235" spans="1:32" hidden="1" x14ac:dyDescent="0.2">
      <c r="A235">
        <v>2924</v>
      </c>
      <c r="B235">
        <v>1593</v>
      </c>
      <c r="C235">
        <v>1</v>
      </c>
      <c r="D235">
        <v>12</v>
      </c>
      <c r="E235" s="5" t="s">
        <v>114</v>
      </c>
      <c r="F235" s="5" t="s">
        <v>102</v>
      </c>
      <c r="G235" s="5" t="s">
        <v>99</v>
      </c>
      <c r="H235" s="5" t="s">
        <v>23</v>
      </c>
      <c r="I235" s="5"/>
      <c r="J235" s="5" t="s">
        <v>103</v>
      </c>
      <c r="K235" s="5"/>
      <c r="L235" s="5" t="s">
        <v>101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</row>
    <row r="236" spans="1:32" hidden="1" x14ac:dyDescent="0.2">
      <c r="A236">
        <v>2924</v>
      </c>
      <c r="B236">
        <v>2148</v>
      </c>
      <c r="C236">
        <v>1</v>
      </c>
      <c r="D236">
        <v>19</v>
      </c>
      <c r="E236" s="5" t="s">
        <v>114</v>
      </c>
      <c r="F236" s="5" t="s">
        <v>3</v>
      </c>
      <c r="G236" s="5" t="s">
        <v>99</v>
      </c>
      <c r="H236" s="5" t="s">
        <v>25</v>
      </c>
      <c r="I236" s="5"/>
      <c r="J236" s="5" t="s">
        <v>100</v>
      </c>
      <c r="K236" s="5"/>
      <c r="L236" s="5" t="s">
        <v>101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</row>
    <row r="237" spans="1:32" hidden="1" x14ac:dyDescent="0.2">
      <c r="A237">
        <v>2924</v>
      </c>
      <c r="B237">
        <v>1593</v>
      </c>
      <c r="C237">
        <v>1</v>
      </c>
      <c r="D237">
        <v>19</v>
      </c>
      <c r="E237" s="5" t="s">
        <v>114</v>
      </c>
      <c r="F237" s="5" t="s">
        <v>102</v>
      </c>
      <c r="G237" s="5" t="s">
        <v>99</v>
      </c>
      <c r="H237" s="5" t="s">
        <v>25</v>
      </c>
      <c r="I237" s="5"/>
      <c r="J237" s="5" t="s">
        <v>103</v>
      </c>
      <c r="K237" s="5"/>
      <c r="L237" s="5" t="s">
        <v>101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</row>
    <row r="238" spans="1:32" hidden="1" x14ac:dyDescent="0.2">
      <c r="A238">
        <v>2924</v>
      </c>
      <c r="B238">
        <v>2148</v>
      </c>
      <c r="C238">
        <v>1</v>
      </c>
      <c r="D238">
        <v>16</v>
      </c>
      <c r="E238" s="5" t="s">
        <v>114</v>
      </c>
      <c r="F238" s="5" t="s">
        <v>3</v>
      </c>
      <c r="G238" s="5" t="s">
        <v>99</v>
      </c>
      <c r="H238" s="5" t="s">
        <v>27</v>
      </c>
      <c r="I238" s="5"/>
      <c r="J238" s="5" t="s">
        <v>100</v>
      </c>
      <c r="K238" s="5"/>
      <c r="L238" s="5" t="s">
        <v>101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</row>
    <row r="239" spans="1:32" hidden="1" x14ac:dyDescent="0.2">
      <c r="A239">
        <v>2924</v>
      </c>
      <c r="B239">
        <v>1593</v>
      </c>
      <c r="C239">
        <v>1</v>
      </c>
      <c r="D239">
        <v>16</v>
      </c>
      <c r="E239" s="5" t="s">
        <v>114</v>
      </c>
      <c r="F239" s="5" t="s">
        <v>102</v>
      </c>
      <c r="G239" s="5" t="s">
        <v>99</v>
      </c>
      <c r="H239" s="5" t="s">
        <v>27</v>
      </c>
      <c r="I239" s="5"/>
      <c r="J239" s="5" t="s">
        <v>103</v>
      </c>
      <c r="K239" s="5"/>
      <c r="L239" s="5" t="s">
        <v>101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</row>
    <row r="240" spans="1:32" hidden="1" x14ac:dyDescent="0.2">
      <c r="A240">
        <v>2924</v>
      </c>
      <c r="B240">
        <v>2148</v>
      </c>
      <c r="C240">
        <v>1</v>
      </c>
      <c r="D240">
        <v>11</v>
      </c>
      <c r="E240" s="5" t="s">
        <v>114</v>
      </c>
      <c r="F240" s="5" t="s">
        <v>3</v>
      </c>
      <c r="G240" s="5" t="s">
        <v>99</v>
      </c>
      <c r="H240" s="5" t="s">
        <v>28</v>
      </c>
      <c r="I240" s="5"/>
      <c r="J240" s="5" t="s">
        <v>100</v>
      </c>
      <c r="K240" s="5"/>
      <c r="L240" s="5" t="s">
        <v>101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</row>
    <row r="241" spans="1:32" hidden="1" x14ac:dyDescent="0.2">
      <c r="A241">
        <v>2924</v>
      </c>
      <c r="B241">
        <v>1593</v>
      </c>
      <c r="C241">
        <v>1</v>
      </c>
      <c r="D241">
        <v>11</v>
      </c>
      <c r="E241" s="5" t="s">
        <v>114</v>
      </c>
      <c r="F241" s="5" t="s">
        <v>102</v>
      </c>
      <c r="G241" s="5" t="s">
        <v>99</v>
      </c>
      <c r="H241" s="5" t="s">
        <v>28</v>
      </c>
      <c r="I241" s="5"/>
      <c r="J241" s="5" t="s">
        <v>103</v>
      </c>
      <c r="K241" s="5"/>
      <c r="L241" s="5" t="s">
        <v>101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</row>
    <row r="242" spans="1:32" hidden="1" x14ac:dyDescent="0.2">
      <c r="A242">
        <v>2924</v>
      </c>
      <c r="B242">
        <v>2148</v>
      </c>
      <c r="C242">
        <v>1</v>
      </c>
      <c r="D242">
        <v>14</v>
      </c>
      <c r="E242" s="5" t="s">
        <v>114</v>
      </c>
      <c r="F242" s="5" t="s">
        <v>3</v>
      </c>
      <c r="G242" s="5" t="s">
        <v>99</v>
      </c>
      <c r="H242" s="5" t="s">
        <v>1</v>
      </c>
      <c r="I242" s="5"/>
      <c r="J242" s="5" t="s">
        <v>100</v>
      </c>
      <c r="K242" s="5"/>
      <c r="L242" s="5" t="s">
        <v>101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</row>
    <row r="243" spans="1:32" hidden="1" x14ac:dyDescent="0.2">
      <c r="A243">
        <v>2924</v>
      </c>
      <c r="B243">
        <v>1593</v>
      </c>
      <c r="C243">
        <v>1</v>
      </c>
      <c r="D243">
        <v>14</v>
      </c>
      <c r="E243" s="5" t="s">
        <v>114</v>
      </c>
      <c r="F243" s="5" t="s">
        <v>102</v>
      </c>
      <c r="G243" s="5" t="s">
        <v>99</v>
      </c>
      <c r="H243" s="5" t="s">
        <v>1</v>
      </c>
      <c r="I243" s="5"/>
      <c r="J243" s="5" t="s">
        <v>103</v>
      </c>
      <c r="K243" s="5"/>
      <c r="L243" s="5" t="s">
        <v>101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</row>
    <row r="244" spans="1:32" hidden="1" x14ac:dyDescent="0.2">
      <c r="A244">
        <v>2831</v>
      </c>
      <c r="B244">
        <v>2148</v>
      </c>
      <c r="C244">
        <v>1</v>
      </c>
      <c r="D244">
        <v>15</v>
      </c>
      <c r="E244" s="5" t="s">
        <v>115</v>
      </c>
      <c r="F244" s="5" t="s">
        <v>3</v>
      </c>
      <c r="G244" s="5" t="s">
        <v>99</v>
      </c>
      <c r="H244" s="5" t="s">
        <v>15</v>
      </c>
      <c r="I244" s="5"/>
      <c r="J244" s="5" t="s">
        <v>100</v>
      </c>
      <c r="K244" s="5"/>
      <c r="L244" s="5" t="s">
        <v>101</v>
      </c>
      <c r="M244" s="5">
        <v>618.6</v>
      </c>
      <c r="N244" s="5">
        <v>659.4</v>
      </c>
      <c r="O244" s="5">
        <v>705.9</v>
      </c>
      <c r="P244" s="5">
        <v>693</v>
      </c>
      <c r="Q244" s="5">
        <v>850.5</v>
      </c>
      <c r="R244" s="5">
        <v>1038.8</v>
      </c>
      <c r="S244" s="5">
        <v>1202.0999999999999</v>
      </c>
      <c r="T244" s="5">
        <v>1307.9000000000001</v>
      </c>
      <c r="U244" s="5">
        <v>1238.8</v>
      </c>
      <c r="V244" s="5">
        <v>1265.2</v>
      </c>
      <c r="W244" s="5">
        <v>1311</v>
      </c>
      <c r="X244" s="5">
        <v>1388.6</v>
      </c>
      <c r="Y244" s="5">
        <v>1388.4</v>
      </c>
      <c r="Z244" s="5">
        <v>1580.7</v>
      </c>
      <c r="AA244" s="5">
        <v>1706.9</v>
      </c>
      <c r="AB244" s="5">
        <v>1813.8</v>
      </c>
      <c r="AC244" s="5">
        <v>1706</v>
      </c>
      <c r="AD244" s="5">
        <v>1852.2</v>
      </c>
      <c r="AE244" s="5">
        <v>1837.7</v>
      </c>
      <c r="AF244" s="5">
        <v>1776.2</v>
      </c>
    </row>
    <row r="245" spans="1:32" hidden="1" x14ac:dyDescent="0.2">
      <c r="A245">
        <v>2831</v>
      </c>
      <c r="B245">
        <v>1593</v>
      </c>
      <c r="C245">
        <v>1</v>
      </c>
      <c r="D245">
        <v>15</v>
      </c>
      <c r="E245" s="5" t="s">
        <v>115</v>
      </c>
      <c r="F245" s="5" t="s">
        <v>102</v>
      </c>
      <c r="G245" s="5" t="s">
        <v>99</v>
      </c>
      <c r="H245" s="5" t="s">
        <v>15</v>
      </c>
      <c r="I245" s="5"/>
      <c r="J245" s="5" t="s">
        <v>103</v>
      </c>
      <c r="K245" s="5"/>
      <c r="L245" s="5" t="s">
        <v>101</v>
      </c>
      <c r="M245" s="5">
        <v>180</v>
      </c>
      <c r="N245" s="5">
        <v>180</v>
      </c>
      <c r="O245" s="5">
        <v>296</v>
      </c>
      <c r="P245" s="5">
        <v>296</v>
      </c>
      <c r="Q245" s="5">
        <v>296</v>
      </c>
      <c r="R245" s="5">
        <v>296</v>
      </c>
      <c r="S245" s="5">
        <v>296</v>
      </c>
      <c r="T245" s="5">
        <v>296</v>
      </c>
      <c r="U245" s="5">
        <v>296</v>
      </c>
      <c r="V245" s="5">
        <v>296</v>
      </c>
      <c r="W245" s="5">
        <v>296</v>
      </c>
      <c r="X245" s="5">
        <v>331</v>
      </c>
      <c r="Y245" s="5">
        <v>366</v>
      </c>
      <c r="Z245" s="5">
        <v>366</v>
      </c>
      <c r="AA245" s="5">
        <v>366</v>
      </c>
      <c r="AB245" s="5">
        <v>366</v>
      </c>
      <c r="AC245" s="5">
        <v>366</v>
      </c>
      <c r="AD245" s="5">
        <v>366</v>
      </c>
      <c r="AE245" s="5">
        <v>366</v>
      </c>
      <c r="AF245" s="5">
        <v>366</v>
      </c>
    </row>
    <row r="246" spans="1:32" hidden="1" x14ac:dyDescent="0.2">
      <c r="A246">
        <v>2831</v>
      </c>
      <c r="B246">
        <v>2148</v>
      </c>
      <c r="C246">
        <v>1</v>
      </c>
      <c r="D246">
        <v>6</v>
      </c>
      <c r="E246" s="5" t="s">
        <v>115</v>
      </c>
      <c r="F246" s="5" t="s">
        <v>3</v>
      </c>
      <c r="G246" s="5" t="s">
        <v>99</v>
      </c>
      <c r="H246" s="5" t="s">
        <v>17</v>
      </c>
      <c r="I246" s="5"/>
      <c r="J246" s="5" t="s">
        <v>100</v>
      </c>
      <c r="K246" s="5"/>
      <c r="L246" s="5" t="s">
        <v>101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</row>
    <row r="247" spans="1:32" hidden="1" x14ac:dyDescent="0.2">
      <c r="A247">
        <v>2831</v>
      </c>
      <c r="B247">
        <v>1593</v>
      </c>
      <c r="C247">
        <v>1</v>
      </c>
      <c r="D247">
        <v>6</v>
      </c>
      <c r="E247" s="5" t="s">
        <v>115</v>
      </c>
      <c r="F247" s="5" t="s">
        <v>102</v>
      </c>
      <c r="G247" s="5" t="s">
        <v>99</v>
      </c>
      <c r="H247" s="5" t="s">
        <v>17</v>
      </c>
      <c r="I247" s="5"/>
      <c r="J247" s="5" t="s">
        <v>103</v>
      </c>
      <c r="K247" s="5"/>
      <c r="L247" s="5" t="s">
        <v>101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</row>
    <row r="248" spans="1:32" hidden="1" x14ac:dyDescent="0.2">
      <c r="A248">
        <v>2831</v>
      </c>
      <c r="B248">
        <v>2148</v>
      </c>
      <c r="C248">
        <v>1</v>
      </c>
      <c r="D248">
        <v>1</v>
      </c>
      <c r="E248" s="5" t="s">
        <v>115</v>
      </c>
      <c r="F248" s="5" t="s">
        <v>3</v>
      </c>
      <c r="G248" s="5" t="s">
        <v>99</v>
      </c>
      <c r="H248" s="5" t="s">
        <v>19</v>
      </c>
      <c r="I248" s="5"/>
      <c r="J248" s="5" t="s">
        <v>100</v>
      </c>
      <c r="K248" s="5"/>
      <c r="L248" s="5" t="s">
        <v>101</v>
      </c>
      <c r="M248" s="5">
        <v>33838</v>
      </c>
      <c r="N248" s="5">
        <v>33734</v>
      </c>
      <c r="O248" s="5">
        <v>34120</v>
      </c>
      <c r="P248" s="5">
        <v>39322</v>
      </c>
      <c r="Q248" s="5">
        <v>39141</v>
      </c>
      <c r="R248" s="5">
        <v>43324</v>
      </c>
      <c r="S248" s="5">
        <v>44589</v>
      </c>
      <c r="T248" s="5">
        <v>39088</v>
      </c>
      <c r="U248" s="5">
        <v>41431</v>
      </c>
      <c r="V248" s="5">
        <v>43781</v>
      </c>
      <c r="W248" s="5">
        <v>44646</v>
      </c>
      <c r="X248" s="5">
        <v>48208</v>
      </c>
      <c r="Y248" s="5">
        <v>44173</v>
      </c>
      <c r="Z248" s="5">
        <v>43963</v>
      </c>
      <c r="AA248" s="5">
        <v>43154</v>
      </c>
      <c r="AB248" s="5">
        <v>34143</v>
      </c>
      <c r="AC248" s="5">
        <v>37975</v>
      </c>
      <c r="AD248" s="5">
        <v>38475</v>
      </c>
      <c r="AE248" s="5">
        <v>43614</v>
      </c>
      <c r="AF248" s="5">
        <v>47700</v>
      </c>
    </row>
    <row r="249" spans="1:32" x14ac:dyDescent="0.2">
      <c r="A249">
        <v>2831</v>
      </c>
      <c r="B249">
        <v>1593</v>
      </c>
      <c r="C249">
        <v>1</v>
      </c>
      <c r="D249">
        <v>1</v>
      </c>
      <c r="E249" s="5" t="s">
        <v>115</v>
      </c>
      <c r="F249" s="5" t="s">
        <v>102</v>
      </c>
      <c r="G249" s="5" t="s">
        <v>99</v>
      </c>
      <c r="H249" s="5" t="s">
        <v>19</v>
      </c>
      <c r="I249" s="5"/>
      <c r="J249" s="5" t="s">
        <v>103</v>
      </c>
      <c r="K249" s="5"/>
      <c r="L249" s="5" t="s">
        <v>101</v>
      </c>
      <c r="M249" s="5">
        <v>6919.97</v>
      </c>
      <c r="N249" s="5">
        <v>7659.97</v>
      </c>
      <c r="O249" s="5">
        <v>7699.97</v>
      </c>
      <c r="P249" s="5">
        <v>8009.97</v>
      </c>
      <c r="Q249" s="5">
        <v>8009.97</v>
      </c>
      <c r="R249" s="5">
        <v>7590.32</v>
      </c>
      <c r="S249" s="5">
        <v>8480.9699999999993</v>
      </c>
      <c r="T249" s="5">
        <v>9461.11</v>
      </c>
      <c r="U249" s="5">
        <v>9852.2099999999991</v>
      </c>
      <c r="V249" s="5">
        <v>10146.11</v>
      </c>
      <c r="W249" s="5">
        <v>10146.11</v>
      </c>
      <c r="X249" s="5">
        <v>10146.11</v>
      </c>
      <c r="Y249" s="5">
        <v>10146.11</v>
      </c>
      <c r="Z249" s="5">
        <v>11220.1</v>
      </c>
      <c r="AA249" s="5">
        <v>11669.54</v>
      </c>
      <c r="AB249" s="5">
        <v>12235.71</v>
      </c>
      <c r="AC249" s="5">
        <v>12411.51</v>
      </c>
      <c r="AD249" s="5">
        <v>13397.82</v>
      </c>
      <c r="AE249" s="5">
        <v>16065.76</v>
      </c>
      <c r="AF249" s="5">
        <v>18798.41</v>
      </c>
    </row>
    <row r="250" spans="1:32" hidden="1" x14ac:dyDescent="0.2">
      <c r="A250">
        <v>2831</v>
      </c>
      <c r="B250">
        <v>2148</v>
      </c>
      <c r="C250">
        <v>1</v>
      </c>
      <c r="D250">
        <v>13</v>
      </c>
      <c r="E250" s="5" t="s">
        <v>115</v>
      </c>
      <c r="F250" s="5" t="s">
        <v>3</v>
      </c>
      <c r="G250" s="5" t="s">
        <v>99</v>
      </c>
      <c r="H250" s="5" t="s">
        <v>20</v>
      </c>
      <c r="I250" s="5"/>
      <c r="J250" s="5" t="s">
        <v>100</v>
      </c>
      <c r="K250" s="5"/>
      <c r="L250" s="5" t="s">
        <v>101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</row>
    <row r="251" spans="1:32" hidden="1" x14ac:dyDescent="0.2">
      <c r="A251">
        <v>2831</v>
      </c>
      <c r="B251">
        <v>1593</v>
      </c>
      <c r="C251">
        <v>1</v>
      </c>
      <c r="D251">
        <v>13</v>
      </c>
      <c r="E251" s="5" t="s">
        <v>115</v>
      </c>
      <c r="F251" s="5" t="s">
        <v>102</v>
      </c>
      <c r="G251" s="5" t="s">
        <v>99</v>
      </c>
      <c r="H251" s="5" t="s">
        <v>20</v>
      </c>
      <c r="I251" s="5"/>
      <c r="J251" s="5" t="s">
        <v>103</v>
      </c>
      <c r="K251" s="5"/>
      <c r="L251" s="5" t="s">
        <v>101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</row>
    <row r="252" spans="1:32" hidden="1" x14ac:dyDescent="0.2">
      <c r="A252">
        <v>2831</v>
      </c>
      <c r="B252">
        <v>2148</v>
      </c>
      <c r="C252">
        <v>1</v>
      </c>
      <c r="D252">
        <v>17</v>
      </c>
      <c r="E252" s="5" t="s">
        <v>115</v>
      </c>
      <c r="F252" s="5" t="s">
        <v>3</v>
      </c>
      <c r="G252" s="5" t="s">
        <v>99</v>
      </c>
      <c r="H252" s="5" t="s">
        <v>22</v>
      </c>
      <c r="I252" s="5"/>
      <c r="J252" s="5" t="s">
        <v>100</v>
      </c>
      <c r="K252" s="5"/>
      <c r="L252" s="5" t="s">
        <v>101</v>
      </c>
      <c r="M252" s="5">
        <v>61396</v>
      </c>
      <c r="N252" s="5">
        <v>64768</v>
      </c>
      <c r="O252" s="5">
        <v>65568</v>
      </c>
      <c r="P252" s="5">
        <v>67779</v>
      </c>
      <c r="Q252" s="5">
        <v>63370</v>
      </c>
      <c r="R252" s="5">
        <v>61342</v>
      </c>
      <c r="S252" s="5">
        <v>55732</v>
      </c>
      <c r="T252" s="5">
        <v>62699</v>
      </c>
      <c r="U252" s="5">
        <v>67761</v>
      </c>
      <c r="V252" s="5">
        <v>73836</v>
      </c>
      <c r="W252" s="5">
        <v>69962</v>
      </c>
      <c r="X252" s="5">
        <v>66833</v>
      </c>
      <c r="Y252" s="5">
        <v>62131</v>
      </c>
      <c r="Z252" s="5">
        <v>64053</v>
      </c>
      <c r="AA252" s="5">
        <v>72280</v>
      </c>
      <c r="AB252" s="5">
        <v>53690.94</v>
      </c>
      <c r="AC252" s="5">
        <v>58418.96</v>
      </c>
      <c r="AD252" s="5">
        <v>70289</v>
      </c>
      <c r="AE252" s="5">
        <v>74826</v>
      </c>
      <c r="AF252" s="5">
        <v>75168</v>
      </c>
    </row>
    <row r="253" spans="1:32" hidden="1" x14ac:dyDescent="0.2">
      <c r="A253">
        <v>2831</v>
      </c>
      <c r="B253">
        <v>1593</v>
      </c>
      <c r="C253">
        <v>1</v>
      </c>
      <c r="D253">
        <v>17</v>
      </c>
      <c r="E253" s="5" t="s">
        <v>115</v>
      </c>
      <c r="F253" s="5" t="s">
        <v>102</v>
      </c>
      <c r="G253" s="5" t="s">
        <v>99</v>
      </c>
      <c r="H253" s="5" t="s">
        <v>22</v>
      </c>
      <c r="I253" s="5"/>
      <c r="J253" s="5" t="s">
        <v>103</v>
      </c>
      <c r="K253" s="5"/>
      <c r="L253" s="5" t="s">
        <v>101</v>
      </c>
      <c r="M253" s="5">
        <v>12153</v>
      </c>
      <c r="N253" s="5">
        <v>12679</v>
      </c>
      <c r="O253" s="5">
        <v>12701</v>
      </c>
      <c r="P253" s="5">
        <v>12821</v>
      </c>
      <c r="Q253" s="5">
        <v>13581</v>
      </c>
      <c r="R253" s="5">
        <v>13852</v>
      </c>
      <c r="S253" s="5">
        <v>14956</v>
      </c>
      <c r="T253" s="5">
        <v>15546</v>
      </c>
      <c r="U253" s="5">
        <v>15421</v>
      </c>
      <c r="V253" s="5">
        <v>15248</v>
      </c>
      <c r="W253" s="5">
        <v>13505.6</v>
      </c>
      <c r="X253" s="5">
        <v>14074.5</v>
      </c>
      <c r="Y253" s="5">
        <v>14676.98</v>
      </c>
      <c r="Z253" s="5">
        <v>14852.9</v>
      </c>
      <c r="AA253" s="5">
        <v>12362.3</v>
      </c>
      <c r="AB253" s="5">
        <v>12828.66</v>
      </c>
      <c r="AC253" s="5">
        <v>13351.4</v>
      </c>
      <c r="AD253" s="5">
        <v>13885.46</v>
      </c>
      <c r="AE253" s="5">
        <v>14440.87</v>
      </c>
      <c r="AF253" s="5">
        <v>15018.51</v>
      </c>
    </row>
    <row r="254" spans="1:32" hidden="1" x14ac:dyDescent="0.2">
      <c r="A254">
        <v>2831</v>
      </c>
      <c r="B254">
        <v>2148</v>
      </c>
      <c r="C254">
        <v>1</v>
      </c>
      <c r="D254">
        <v>12</v>
      </c>
      <c r="E254" s="5" t="s">
        <v>115</v>
      </c>
      <c r="F254" s="5" t="s">
        <v>3</v>
      </c>
      <c r="G254" s="5" t="s">
        <v>99</v>
      </c>
      <c r="H254" s="5" t="s">
        <v>23</v>
      </c>
      <c r="I254" s="5"/>
      <c r="J254" s="5" t="s">
        <v>100</v>
      </c>
      <c r="K254" s="5"/>
      <c r="L254" s="5" t="s">
        <v>101</v>
      </c>
      <c r="M254" s="5">
        <v>1720.99</v>
      </c>
      <c r="N254" s="5">
        <v>1489.35</v>
      </c>
      <c r="O254" s="5">
        <v>1408.96</v>
      </c>
      <c r="P254" s="5">
        <v>1386.91</v>
      </c>
      <c r="Q254" s="5">
        <v>869.61</v>
      </c>
      <c r="R254" s="5">
        <v>1234.47</v>
      </c>
      <c r="S254" s="5">
        <v>1570</v>
      </c>
      <c r="T254" s="5">
        <v>1752.29</v>
      </c>
      <c r="U254" s="5">
        <v>1753.83</v>
      </c>
      <c r="V254" s="5">
        <v>2850.69</v>
      </c>
      <c r="W254" s="5">
        <v>3587.13</v>
      </c>
      <c r="X254" s="5">
        <v>4455.43</v>
      </c>
      <c r="Y254" s="5">
        <v>4621.5</v>
      </c>
      <c r="Z254" s="5">
        <v>5205.05</v>
      </c>
      <c r="AA254" s="5">
        <v>6873.14</v>
      </c>
      <c r="AB254" s="5">
        <v>8327.19</v>
      </c>
      <c r="AC254" s="5">
        <v>6985.97</v>
      </c>
      <c r="AD254" s="5">
        <v>6771.69</v>
      </c>
      <c r="AE254" s="5">
        <v>5838.69</v>
      </c>
      <c r="AF254" s="5">
        <v>5052.04</v>
      </c>
    </row>
    <row r="255" spans="1:32" hidden="1" x14ac:dyDescent="0.2">
      <c r="A255">
        <v>2831</v>
      </c>
      <c r="B255">
        <v>1593</v>
      </c>
      <c r="C255">
        <v>1</v>
      </c>
      <c r="D255">
        <v>12</v>
      </c>
      <c r="E255" s="5" t="s">
        <v>115</v>
      </c>
      <c r="F255" s="5" t="s">
        <v>102</v>
      </c>
      <c r="G255" s="5" t="s">
        <v>99</v>
      </c>
      <c r="H255" s="5" t="s">
        <v>23</v>
      </c>
      <c r="I255" s="5"/>
      <c r="J255" s="5" t="s">
        <v>103</v>
      </c>
      <c r="K255" s="5"/>
      <c r="L255" s="5" t="s">
        <v>101</v>
      </c>
      <c r="M255" s="5">
        <v>470.7</v>
      </c>
      <c r="N255" s="5">
        <v>470.7</v>
      </c>
      <c r="O255" s="5">
        <v>470.7</v>
      </c>
      <c r="P255" s="5">
        <v>470.7</v>
      </c>
      <c r="Q255" s="5">
        <v>470.7</v>
      </c>
      <c r="R255" s="5">
        <v>470.7</v>
      </c>
      <c r="S255" s="5">
        <v>470.7</v>
      </c>
      <c r="T255" s="5">
        <v>470.7</v>
      </c>
      <c r="U255" s="5">
        <v>470.7</v>
      </c>
      <c r="V255" s="5">
        <v>700.7</v>
      </c>
      <c r="W255" s="5">
        <v>700.7</v>
      </c>
      <c r="X255" s="5">
        <v>700.7</v>
      </c>
      <c r="Y255" s="5">
        <v>700.7</v>
      </c>
      <c r="Z255" s="5">
        <v>807.95</v>
      </c>
      <c r="AA255" s="5">
        <v>976.95</v>
      </c>
      <c r="AB255" s="5">
        <v>1174.6400000000001</v>
      </c>
      <c r="AC255" s="5">
        <v>1174.6400000000001</v>
      </c>
      <c r="AD255" s="5">
        <v>1333.64</v>
      </c>
      <c r="AE255" s="5">
        <v>1033.5999999999999</v>
      </c>
      <c r="AF255" s="5">
        <v>1033.5999999999999</v>
      </c>
    </row>
    <row r="256" spans="1:32" hidden="1" x14ac:dyDescent="0.2">
      <c r="A256">
        <v>2831</v>
      </c>
      <c r="B256">
        <v>2148</v>
      </c>
      <c r="C256">
        <v>1</v>
      </c>
      <c r="D256">
        <v>19</v>
      </c>
      <c r="E256" s="5" t="s">
        <v>115</v>
      </c>
      <c r="F256" s="5" t="s">
        <v>3</v>
      </c>
      <c r="G256" s="5" t="s">
        <v>99</v>
      </c>
      <c r="H256" s="5" t="s">
        <v>25</v>
      </c>
      <c r="I256" s="5"/>
      <c r="J256" s="5" t="s">
        <v>100</v>
      </c>
      <c r="K256" s="5"/>
      <c r="L256" s="5" t="s">
        <v>101</v>
      </c>
      <c r="M256" s="5">
        <v>16860.900000000001</v>
      </c>
      <c r="N256" s="5">
        <v>16366</v>
      </c>
      <c r="O256" s="5">
        <v>18789.400000000001</v>
      </c>
      <c r="P256" s="5">
        <v>19575.900000000001</v>
      </c>
      <c r="Q256" s="5">
        <v>19886.8</v>
      </c>
      <c r="R256" s="5">
        <v>19517.900000000001</v>
      </c>
      <c r="S256" s="5">
        <v>20591.3</v>
      </c>
      <c r="T256" s="5">
        <v>19641.5</v>
      </c>
      <c r="U256" s="5">
        <v>18791.3</v>
      </c>
      <c r="V256" s="5">
        <v>18690.099999999999</v>
      </c>
      <c r="W256" s="5">
        <v>18877.900000000001</v>
      </c>
      <c r="X256" s="5">
        <v>19853.8</v>
      </c>
      <c r="Y256" s="5">
        <v>20547.2</v>
      </c>
      <c r="Z256" s="5">
        <v>21333.79</v>
      </c>
      <c r="AA256" s="5">
        <v>22354.38</v>
      </c>
      <c r="AB256" s="5">
        <v>19496.93</v>
      </c>
      <c r="AC256" s="5">
        <v>18675.439999999999</v>
      </c>
      <c r="AD256" s="5">
        <v>17884.12</v>
      </c>
      <c r="AE256" s="5">
        <v>16668.07</v>
      </c>
      <c r="AF256" s="5">
        <v>18046.73</v>
      </c>
    </row>
    <row r="257" spans="1:32" hidden="1" x14ac:dyDescent="0.2">
      <c r="A257">
        <v>2831</v>
      </c>
      <c r="B257">
        <v>1593</v>
      </c>
      <c r="C257">
        <v>1</v>
      </c>
      <c r="D257">
        <v>19</v>
      </c>
      <c r="E257" s="5" t="s">
        <v>115</v>
      </c>
      <c r="F257" s="5" t="s">
        <v>102</v>
      </c>
      <c r="G257" s="5" t="s">
        <v>99</v>
      </c>
      <c r="H257" s="5" t="s">
        <v>25</v>
      </c>
      <c r="I257" s="5"/>
      <c r="J257" s="5" t="s">
        <v>103</v>
      </c>
      <c r="K257" s="5"/>
      <c r="L257" s="5" t="s">
        <v>101</v>
      </c>
      <c r="M257" s="5">
        <v>2763</v>
      </c>
      <c r="N257" s="5">
        <v>2763</v>
      </c>
      <c r="O257" s="5">
        <v>2834</v>
      </c>
      <c r="P257" s="5">
        <v>2831</v>
      </c>
      <c r="Q257" s="5">
        <v>2831</v>
      </c>
      <c r="R257" s="5">
        <v>2861</v>
      </c>
      <c r="S257" s="5">
        <v>2861</v>
      </c>
      <c r="T257" s="5">
        <v>2862</v>
      </c>
      <c r="U257" s="5">
        <v>2862.02</v>
      </c>
      <c r="V257" s="5">
        <v>2862.02</v>
      </c>
      <c r="W257" s="5">
        <v>2862.02</v>
      </c>
      <c r="X257" s="5">
        <v>3431.12</v>
      </c>
      <c r="Y257" s="5">
        <v>3446.52</v>
      </c>
      <c r="Z257" s="5">
        <v>3452.5</v>
      </c>
      <c r="AA257" s="5">
        <v>3452.54</v>
      </c>
      <c r="AB257" s="5">
        <v>3452.54</v>
      </c>
      <c r="AC257" s="5">
        <v>3452.54</v>
      </c>
      <c r="AD257" s="5">
        <v>3732</v>
      </c>
      <c r="AE257" s="5">
        <v>3732</v>
      </c>
      <c r="AF257" s="5">
        <v>3732</v>
      </c>
    </row>
    <row r="258" spans="1:32" hidden="1" x14ac:dyDescent="0.2">
      <c r="A258">
        <v>2831</v>
      </c>
      <c r="B258">
        <v>2148</v>
      </c>
      <c r="C258">
        <v>1</v>
      </c>
      <c r="D258">
        <v>16</v>
      </c>
      <c r="E258" s="5" t="s">
        <v>115</v>
      </c>
      <c r="F258" s="5" t="s">
        <v>3</v>
      </c>
      <c r="G258" s="5" t="s">
        <v>99</v>
      </c>
      <c r="H258" s="5" t="s">
        <v>27</v>
      </c>
      <c r="I258" s="5"/>
      <c r="J258" s="5" t="s">
        <v>100</v>
      </c>
      <c r="K258" s="5"/>
      <c r="L258" s="5" t="s">
        <v>101</v>
      </c>
      <c r="M258" s="5">
        <v>26738</v>
      </c>
      <c r="N258" s="5">
        <v>28780</v>
      </c>
      <c r="O258" s="5">
        <v>30463</v>
      </c>
      <c r="P258" s="5">
        <v>31444</v>
      </c>
      <c r="Q258" s="5">
        <v>31330</v>
      </c>
      <c r="R258" s="5">
        <v>33036</v>
      </c>
      <c r="S258" s="5">
        <v>34308</v>
      </c>
      <c r="T258" s="5">
        <v>38677</v>
      </c>
      <c r="U258" s="5">
        <v>43201</v>
      </c>
      <c r="V258" s="5">
        <v>46191</v>
      </c>
      <c r="W258" s="5">
        <v>47070</v>
      </c>
      <c r="X258" s="5">
        <v>48271</v>
      </c>
      <c r="Y258" s="5">
        <v>48881</v>
      </c>
      <c r="Z258" s="5">
        <v>51169</v>
      </c>
      <c r="AA258" s="5">
        <v>50889</v>
      </c>
      <c r="AB258" s="5">
        <v>49693</v>
      </c>
      <c r="AC258" s="5">
        <v>51496</v>
      </c>
      <c r="AD258" s="5">
        <v>53711</v>
      </c>
      <c r="AE258" s="5">
        <v>58150</v>
      </c>
      <c r="AF258" s="5">
        <v>62600</v>
      </c>
    </row>
    <row r="259" spans="1:32" hidden="1" x14ac:dyDescent="0.2">
      <c r="A259">
        <v>2831</v>
      </c>
      <c r="B259">
        <v>1593</v>
      </c>
      <c r="C259">
        <v>1</v>
      </c>
      <c r="D259">
        <v>16</v>
      </c>
      <c r="E259" s="5" t="s">
        <v>115</v>
      </c>
      <c r="F259" s="5" t="s">
        <v>102</v>
      </c>
      <c r="G259" s="5" t="s">
        <v>99</v>
      </c>
      <c r="H259" s="5" t="s">
        <v>27</v>
      </c>
      <c r="I259" s="5"/>
      <c r="J259" s="5" t="s">
        <v>103</v>
      </c>
      <c r="K259" s="5"/>
      <c r="L259" s="5" t="s">
        <v>101</v>
      </c>
      <c r="M259" s="5">
        <v>4534</v>
      </c>
      <c r="N259" s="5">
        <v>4534</v>
      </c>
      <c r="O259" s="5">
        <v>5024</v>
      </c>
      <c r="P259" s="5">
        <v>5035</v>
      </c>
      <c r="Q259" s="5">
        <v>5414</v>
      </c>
      <c r="R259" s="5">
        <v>6154</v>
      </c>
      <c r="S259" s="5">
        <v>6223</v>
      </c>
      <c r="T259" s="5">
        <v>7818</v>
      </c>
      <c r="U259" s="5">
        <v>9430</v>
      </c>
      <c r="V259" s="5">
        <v>9892</v>
      </c>
      <c r="W259" s="5">
        <v>10356</v>
      </c>
      <c r="X259" s="5">
        <v>10356</v>
      </c>
      <c r="Y259" s="5">
        <v>10508</v>
      </c>
      <c r="Z259" s="5">
        <v>10501.3</v>
      </c>
      <c r="AA259" s="5">
        <v>10491.41</v>
      </c>
      <c r="AB259" s="5">
        <v>10491.41</v>
      </c>
      <c r="AC259" s="5">
        <v>10491.41</v>
      </c>
      <c r="AD259" s="5">
        <v>10491.41</v>
      </c>
      <c r="AE259" s="5">
        <v>10516.7</v>
      </c>
      <c r="AF259" s="5">
        <v>10516.7</v>
      </c>
    </row>
    <row r="260" spans="1:32" hidden="1" x14ac:dyDescent="0.2">
      <c r="A260">
        <v>2831</v>
      </c>
      <c r="B260">
        <v>2148</v>
      </c>
      <c r="C260">
        <v>1</v>
      </c>
      <c r="D260">
        <v>11</v>
      </c>
      <c r="E260" s="5" t="s">
        <v>115</v>
      </c>
      <c r="F260" s="5" t="s">
        <v>3</v>
      </c>
      <c r="G260" s="5" t="s">
        <v>99</v>
      </c>
      <c r="H260" s="5" t="s">
        <v>28</v>
      </c>
      <c r="I260" s="5"/>
      <c r="J260" s="5" t="s">
        <v>100</v>
      </c>
      <c r="K260" s="5"/>
      <c r="L260" s="5" t="s">
        <v>101</v>
      </c>
      <c r="M260" s="5">
        <v>85703</v>
      </c>
      <c r="N260" s="5">
        <v>87071</v>
      </c>
      <c r="O260" s="5">
        <v>90167.2</v>
      </c>
      <c r="P260" s="5">
        <v>94549</v>
      </c>
      <c r="Q260" s="5">
        <v>82569.3</v>
      </c>
      <c r="R260" s="5">
        <v>94224</v>
      </c>
      <c r="S260" s="5">
        <v>102301</v>
      </c>
      <c r="T260" s="5">
        <v>114628</v>
      </c>
      <c r="U260" s="5">
        <v>118871.2</v>
      </c>
      <c r="V260" s="5">
        <v>124675</v>
      </c>
      <c r="W260" s="5">
        <v>128525</v>
      </c>
      <c r="X260" s="5">
        <v>124597</v>
      </c>
      <c r="Y260" s="5">
        <v>120263.6</v>
      </c>
      <c r="Z260" s="5">
        <v>116265.2</v>
      </c>
      <c r="AA260" s="5">
        <v>121840.6</v>
      </c>
      <c r="AB260" s="5">
        <v>112793.1</v>
      </c>
      <c r="AC260" s="5">
        <v>110171.3</v>
      </c>
      <c r="AD260" s="5">
        <v>104931.2</v>
      </c>
      <c r="AE260" s="5">
        <v>129400</v>
      </c>
      <c r="AF260" s="5">
        <v>136370</v>
      </c>
    </row>
    <row r="261" spans="1:32" hidden="1" x14ac:dyDescent="0.2">
      <c r="A261">
        <v>2831</v>
      </c>
      <c r="B261">
        <v>1593</v>
      </c>
      <c r="C261">
        <v>1</v>
      </c>
      <c r="D261">
        <v>11</v>
      </c>
      <c r="E261" s="5" t="s">
        <v>115</v>
      </c>
      <c r="F261" s="5" t="s">
        <v>102</v>
      </c>
      <c r="G261" s="5" t="s">
        <v>99</v>
      </c>
      <c r="H261" s="5" t="s">
        <v>28</v>
      </c>
      <c r="I261" s="5"/>
      <c r="J261" s="5" t="s">
        <v>103</v>
      </c>
      <c r="K261" s="5"/>
      <c r="L261" s="5" t="s">
        <v>101</v>
      </c>
      <c r="M261" s="5">
        <v>17865.009999999998</v>
      </c>
      <c r="N261" s="5">
        <v>17845.25</v>
      </c>
      <c r="O261" s="5">
        <v>18768.7</v>
      </c>
      <c r="P261" s="5">
        <v>20949.189999999999</v>
      </c>
      <c r="Q261" s="5">
        <v>21550.76</v>
      </c>
      <c r="R261" s="5">
        <v>22656.87</v>
      </c>
      <c r="S261" s="5">
        <v>21987</v>
      </c>
      <c r="T261" s="5">
        <v>21981</v>
      </c>
      <c r="U261" s="5">
        <v>22941</v>
      </c>
      <c r="V261" s="5">
        <v>23541.1</v>
      </c>
      <c r="W261" s="5">
        <v>23541.1</v>
      </c>
      <c r="X261" s="5">
        <v>27678</v>
      </c>
      <c r="Y261" s="5">
        <v>27678</v>
      </c>
      <c r="Z261" s="5">
        <v>28718</v>
      </c>
      <c r="AA261" s="5">
        <v>27507.7</v>
      </c>
      <c r="AB261" s="5">
        <v>27960.99</v>
      </c>
      <c r="AC261" s="5">
        <v>29120.99</v>
      </c>
      <c r="AD261" s="5">
        <v>30925</v>
      </c>
      <c r="AE261" s="5">
        <v>36110</v>
      </c>
      <c r="AF261" s="5">
        <v>38060</v>
      </c>
    </row>
    <row r="262" spans="1:32" hidden="1" x14ac:dyDescent="0.2">
      <c r="A262">
        <v>2831</v>
      </c>
      <c r="B262">
        <v>2148</v>
      </c>
      <c r="C262">
        <v>1</v>
      </c>
      <c r="D262">
        <v>14</v>
      </c>
      <c r="E262" s="5" t="s">
        <v>115</v>
      </c>
      <c r="F262" s="5" t="s">
        <v>3</v>
      </c>
      <c r="G262" s="5" t="s">
        <v>99</v>
      </c>
      <c r="H262" s="5" t="s">
        <v>1</v>
      </c>
      <c r="I262" s="5"/>
      <c r="J262" s="5" t="s">
        <v>100</v>
      </c>
      <c r="K262" s="5"/>
      <c r="L262" s="5" t="s">
        <v>101</v>
      </c>
      <c r="M262" s="5">
        <v>24700</v>
      </c>
      <c r="N262" s="5">
        <v>25419</v>
      </c>
      <c r="O262" s="5">
        <v>26002</v>
      </c>
      <c r="P262" s="5">
        <v>29284</v>
      </c>
      <c r="Q262" s="5">
        <v>33316</v>
      </c>
      <c r="R262" s="5">
        <v>37670</v>
      </c>
      <c r="S262" s="5">
        <v>32855</v>
      </c>
      <c r="T262" s="5">
        <v>33747</v>
      </c>
      <c r="U262" s="5">
        <v>38209</v>
      </c>
      <c r="V262" s="5">
        <v>44930</v>
      </c>
      <c r="W262" s="5">
        <v>48149</v>
      </c>
      <c r="X262" s="5">
        <v>46055</v>
      </c>
      <c r="Y262" s="5">
        <v>40452</v>
      </c>
      <c r="Z262" s="5">
        <v>40701</v>
      </c>
      <c r="AA262" s="5">
        <v>42507</v>
      </c>
      <c r="AB262" s="5">
        <v>34802</v>
      </c>
      <c r="AC262" s="5">
        <v>26311</v>
      </c>
      <c r="AD262" s="5">
        <v>29410</v>
      </c>
      <c r="AE262" s="5">
        <v>26367</v>
      </c>
      <c r="AF262" s="5">
        <v>21827</v>
      </c>
    </row>
    <row r="263" spans="1:32" hidden="1" x14ac:dyDescent="0.2">
      <c r="A263">
        <v>2831</v>
      </c>
      <c r="B263">
        <v>1593</v>
      </c>
      <c r="C263">
        <v>1</v>
      </c>
      <c r="D263">
        <v>14</v>
      </c>
      <c r="E263" s="5" t="s">
        <v>115</v>
      </c>
      <c r="F263" s="5" t="s">
        <v>102</v>
      </c>
      <c r="G263" s="5" t="s">
        <v>99</v>
      </c>
      <c r="H263" s="5" t="s">
        <v>1</v>
      </c>
      <c r="I263" s="5"/>
      <c r="J263" s="5" t="s">
        <v>103</v>
      </c>
      <c r="K263" s="5"/>
      <c r="L263" s="5" t="s">
        <v>101</v>
      </c>
      <c r="M263" s="5">
        <v>2939</v>
      </c>
      <c r="N263" s="5">
        <v>3297.4</v>
      </c>
      <c r="O263" s="5">
        <v>4385.55</v>
      </c>
      <c r="P263" s="5">
        <v>5473.7</v>
      </c>
      <c r="Q263" s="5">
        <v>6561.85</v>
      </c>
      <c r="R263" s="5">
        <v>7650</v>
      </c>
      <c r="S263" s="5">
        <v>7650</v>
      </c>
      <c r="T263" s="5">
        <v>7650</v>
      </c>
      <c r="U263" s="5">
        <v>7650</v>
      </c>
      <c r="V263" s="5">
        <v>7345.15</v>
      </c>
      <c r="W263" s="5">
        <v>7144</v>
      </c>
      <c r="X263" s="5">
        <v>7144</v>
      </c>
      <c r="Y263" s="5">
        <v>7144</v>
      </c>
      <c r="Z263" s="5">
        <v>7446</v>
      </c>
      <c r="AA263" s="5">
        <v>7483</v>
      </c>
      <c r="AB263" s="5">
        <v>7152</v>
      </c>
      <c r="AC263" s="5">
        <v>7446</v>
      </c>
      <c r="AD263" s="5">
        <v>7446</v>
      </c>
      <c r="AE263" s="5">
        <v>7398</v>
      </c>
      <c r="AF263" s="5">
        <v>7398</v>
      </c>
    </row>
    <row r="264" spans="1:32" hidden="1" x14ac:dyDescent="0.2">
      <c r="A264">
        <v>15321</v>
      </c>
      <c r="B264">
        <v>2148</v>
      </c>
      <c r="C264">
        <v>1</v>
      </c>
      <c r="D264">
        <v>15</v>
      </c>
      <c r="E264" s="5" t="s">
        <v>116</v>
      </c>
      <c r="F264" s="5" t="s">
        <v>3</v>
      </c>
      <c r="G264" s="5" t="s">
        <v>99</v>
      </c>
      <c r="H264" s="5" t="s">
        <v>15</v>
      </c>
      <c r="I264" s="5"/>
      <c r="J264" s="5" t="s">
        <v>100</v>
      </c>
      <c r="K264" s="5"/>
      <c r="L264" s="5" t="s">
        <v>101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</row>
    <row r="265" spans="1:32" hidden="1" x14ac:dyDescent="0.2">
      <c r="A265">
        <v>15321</v>
      </c>
      <c r="B265">
        <v>1593</v>
      </c>
      <c r="C265">
        <v>1</v>
      </c>
      <c r="D265">
        <v>15</v>
      </c>
      <c r="E265" s="5" t="s">
        <v>116</v>
      </c>
      <c r="F265" s="5" t="s">
        <v>102</v>
      </c>
      <c r="G265" s="5" t="s">
        <v>99</v>
      </c>
      <c r="H265" s="5" t="s">
        <v>15</v>
      </c>
      <c r="I265" s="5"/>
      <c r="J265" s="5" t="s">
        <v>103</v>
      </c>
      <c r="K265" s="5"/>
      <c r="L265" s="5" t="s">
        <v>101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</row>
    <row r="266" spans="1:32" hidden="1" x14ac:dyDescent="0.2">
      <c r="A266">
        <v>15321</v>
      </c>
      <c r="B266">
        <v>2148</v>
      </c>
      <c r="C266">
        <v>1</v>
      </c>
      <c r="D266">
        <v>6</v>
      </c>
      <c r="E266" s="5" t="s">
        <v>116</v>
      </c>
      <c r="F266" s="5" t="s">
        <v>3</v>
      </c>
      <c r="G266" s="5" t="s">
        <v>99</v>
      </c>
      <c r="H266" s="5" t="s">
        <v>17</v>
      </c>
      <c r="I266" s="5"/>
      <c r="J266" s="5" t="s">
        <v>100</v>
      </c>
      <c r="K266" s="5"/>
      <c r="L266" s="5" t="s">
        <v>101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</row>
    <row r="267" spans="1:32" hidden="1" x14ac:dyDescent="0.2">
      <c r="A267">
        <v>15321</v>
      </c>
      <c r="B267">
        <v>1593</v>
      </c>
      <c r="C267">
        <v>1</v>
      </c>
      <c r="D267">
        <v>6</v>
      </c>
      <c r="E267" s="5" t="s">
        <v>116</v>
      </c>
      <c r="F267" s="5" t="s">
        <v>102</v>
      </c>
      <c r="G267" s="5" t="s">
        <v>99</v>
      </c>
      <c r="H267" s="5" t="s">
        <v>17</v>
      </c>
      <c r="I267" s="5"/>
      <c r="J267" s="5" t="s">
        <v>103</v>
      </c>
      <c r="K267" s="5"/>
      <c r="L267" s="5" t="s">
        <v>101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</row>
    <row r="268" spans="1:32" hidden="1" x14ac:dyDescent="0.2">
      <c r="A268">
        <v>15321</v>
      </c>
      <c r="B268">
        <v>2148</v>
      </c>
      <c r="C268">
        <v>1</v>
      </c>
      <c r="D268">
        <v>1</v>
      </c>
      <c r="E268" s="5" t="s">
        <v>116</v>
      </c>
      <c r="F268" s="5" t="s">
        <v>3</v>
      </c>
      <c r="G268" s="5" t="s">
        <v>99</v>
      </c>
      <c r="H268" s="5" t="s">
        <v>19</v>
      </c>
      <c r="I268" s="5"/>
      <c r="J268" s="5" t="s">
        <v>100</v>
      </c>
      <c r="K268" s="5"/>
      <c r="L268" s="5" t="s">
        <v>101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</row>
    <row r="269" spans="1:32" x14ac:dyDescent="0.2">
      <c r="A269">
        <v>15321</v>
      </c>
      <c r="B269">
        <v>1593</v>
      </c>
      <c r="C269">
        <v>1</v>
      </c>
      <c r="D269">
        <v>1</v>
      </c>
      <c r="E269" s="5" t="s">
        <v>116</v>
      </c>
      <c r="F269" s="5" t="s">
        <v>102</v>
      </c>
      <c r="G269" s="5" t="s">
        <v>99</v>
      </c>
      <c r="H269" s="5" t="s">
        <v>19</v>
      </c>
      <c r="I269" s="5"/>
      <c r="J269" s="5" t="s">
        <v>103</v>
      </c>
      <c r="K269" s="5"/>
      <c r="L269" s="5" t="s">
        <v>101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</row>
    <row r="270" spans="1:32" hidden="1" x14ac:dyDescent="0.2">
      <c r="A270">
        <v>15321</v>
      </c>
      <c r="B270">
        <v>2148</v>
      </c>
      <c r="C270">
        <v>1</v>
      </c>
      <c r="D270">
        <v>13</v>
      </c>
      <c r="E270" s="5" t="s">
        <v>116</v>
      </c>
      <c r="F270" s="5" t="s">
        <v>3</v>
      </c>
      <c r="G270" s="5" t="s">
        <v>99</v>
      </c>
      <c r="H270" s="5" t="s">
        <v>20</v>
      </c>
      <c r="I270" s="5"/>
      <c r="J270" s="5" t="s">
        <v>100</v>
      </c>
      <c r="K270" s="5"/>
      <c r="L270" s="5" t="s">
        <v>101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</row>
    <row r="271" spans="1:32" hidden="1" x14ac:dyDescent="0.2">
      <c r="A271">
        <v>15321</v>
      </c>
      <c r="B271">
        <v>1593</v>
      </c>
      <c r="C271">
        <v>1</v>
      </c>
      <c r="D271">
        <v>13</v>
      </c>
      <c r="E271" s="5" t="s">
        <v>116</v>
      </c>
      <c r="F271" s="5" t="s">
        <v>102</v>
      </c>
      <c r="G271" s="5" t="s">
        <v>99</v>
      </c>
      <c r="H271" s="5" t="s">
        <v>20</v>
      </c>
      <c r="I271" s="5"/>
      <c r="J271" s="5" t="s">
        <v>103</v>
      </c>
      <c r="K271" s="5"/>
      <c r="L271" s="5" t="s">
        <v>101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</row>
    <row r="272" spans="1:32" hidden="1" x14ac:dyDescent="0.2">
      <c r="A272">
        <v>15321</v>
      </c>
      <c r="B272">
        <v>2148</v>
      </c>
      <c r="C272">
        <v>1</v>
      </c>
      <c r="D272">
        <v>17</v>
      </c>
      <c r="E272" s="5" t="s">
        <v>116</v>
      </c>
      <c r="F272" s="5" t="s">
        <v>3</v>
      </c>
      <c r="G272" s="5" t="s">
        <v>99</v>
      </c>
      <c r="H272" s="5" t="s">
        <v>22</v>
      </c>
      <c r="I272" s="5"/>
      <c r="J272" s="5" t="s">
        <v>100</v>
      </c>
      <c r="K272" s="5"/>
      <c r="L272" s="5" t="s">
        <v>101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</row>
    <row r="273" spans="1:32" hidden="1" x14ac:dyDescent="0.2">
      <c r="A273">
        <v>15321</v>
      </c>
      <c r="B273">
        <v>1593</v>
      </c>
      <c r="C273">
        <v>1</v>
      </c>
      <c r="D273">
        <v>17</v>
      </c>
      <c r="E273" s="5" t="s">
        <v>116</v>
      </c>
      <c r="F273" s="5" t="s">
        <v>102</v>
      </c>
      <c r="G273" s="5" t="s">
        <v>99</v>
      </c>
      <c r="H273" s="5" t="s">
        <v>22</v>
      </c>
      <c r="I273" s="5"/>
      <c r="J273" s="5" t="s">
        <v>103</v>
      </c>
      <c r="K273" s="5"/>
      <c r="L273" s="5" t="s">
        <v>101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</row>
    <row r="274" spans="1:32" hidden="1" x14ac:dyDescent="0.2">
      <c r="A274">
        <v>15321</v>
      </c>
      <c r="B274">
        <v>2148</v>
      </c>
      <c r="C274">
        <v>1</v>
      </c>
      <c r="D274">
        <v>12</v>
      </c>
      <c r="E274" s="5" t="s">
        <v>116</v>
      </c>
      <c r="F274" s="5" t="s">
        <v>3</v>
      </c>
      <c r="G274" s="5" t="s">
        <v>99</v>
      </c>
      <c r="H274" s="5" t="s">
        <v>23</v>
      </c>
      <c r="I274" s="5"/>
      <c r="J274" s="5" t="s">
        <v>100</v>
      </c>
      <c r="K274" s="5"/>
      <c r="L274" s="5" t="s">
        <v>101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</row>
    <row r="275" spans="1:32" hidden="1" x14ac:dyDescent="0.2">
      <c r="A275">
        <v>15321</v>
      </c>
      <c r="B275">
        <v>1593</v>
      </c>
      <c r="C275">
        <v>1</v>
      </c>
      <c r="D275">
        <v>12</v>
      </c>
      <c r="E275" s="5" t="s">
        <v>116</v>
      </c>
      <c r="F275" s="5" t="s">
        <v>102</v>
      </c>
      <c r="G275" s="5" t="s">
        <v>99</v>
      </c>
      <c r="H275" s="5" t="s">
        <v>23</v>
      </c>
      <c r="I275" s="5"/>
      <c r="J275" s="5" t="s">
        <v>103</v>
      </c>
      <c r="K275" s="5"/>
      <c r="L275" s="5" t="s">
        <v>101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</row>
    <row r="276" spans="1:32" hidden="1" x14ac:dyDescent="0.2">
      <c r="A276">
        <v>15321</v>
      </c>
      <c r="B276">
        <v>2148</v>
      </c>
      <c r="C276">
        <v>1</v>
      </c>
      <c r="D276">
        <v>19</v>
      </c>
      <c r="E276" s="5" t="s">
        <v>116</v>
      </c>
      <c r="F276" s="5" t="s">
        <v>3</v>
      </c>
      <c r="G276" s="5" t="s">
        <v>99</v>
      </c>
      <c r="H276" s="5" t="s">
        <v>25</v>
      </c>
      <c r="I276" s="5"/>
      <c r="J276" s="5" t="s">
        <v>100</v>
      </c>
      <c r="K276" s="5"/>
      <c r="L276" s="5" t="s">
        <v>101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</row>
    <row r="277" spans="1:32" hidden="1" x14ac:dyDescent="0.2">
      <c r="A277">
        <v>15321</v>
      </c>
      <c r="B277">
        <v>1593</v>
      </c>
      <c r="C277">
        <v>1</v>
      </c>
      <c r="D277">
        <v>19</v>
      </c>
      <c r="E277" s="5" t="s">
        <v>116</v>
      </c>
      <c r="F277" s="5" t="s">
        <v>102</v>
      </c>
      <c r="G277" s="5" t="s">
        <v>99</v>
      </c>
      <c r="H277" s="5" t="s">
        <v>25</v>
      </c>
      <c r="I277" s="5"/>
      <c r="J277" s="5" t="s">
        <v>103</v>
      </c>
      <c r="K277" s="5"/>
      <c r="L277" s="5" t="s">
        <v>101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</row>
    <row r="278" spans="1:32" hidden="1" x14ac:dyDescent="0.2">
      <c r="A278">
        <v>15321</v>
      </c>
      <c r="B278">
        <v>2148</v>
      </c>
      <c r="C278">
        <v>1</v>
      </c>
      <c r="D278">
        <v>16</v>
      </c>
      <c r="E278" s="5" t="s">
        <v>116</v>
      </c>
      <c r="F278" s="5" t="s">
        <v>3</v>
      </c>
      <c r="G278" s="5" t="s">
        <v>99</v>
      </c>
      <c r="H278" s="5" t="s">
        <v>27</v>
      </c>
      <c r="I278" s="5"/>
      <c r="J278" s="5" t="s">
        <v>100</v>
      </c>
      <c r="K278" s="5"/>
      <c r="L278" s="5" t="s">
        <v>101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</row>
    <row r="279" spans="1:32" hidden="1" x14ac:dyDescent="0.2">
      <c r="A279">
        <v>15321</v>
      </c>
      <c r="B279">
        <v>1593</v>
      </c>
      <c r="C279">
        <v>1</v>
      </c>
      <c r="D279">
        <v>16</v>
      </c>
      <c r="E279" s="5" t="s">
        <v>116</v>
      </c>
      <c r="F279" s="5" t="s">
        <v>102</v>
      </c>
      <c r="G279" s="5" t="s">
        <v>99</v>
      </c>
      <c r="H279" s="5" t="s">
        <v>27</v>
      </c>
      <c r="I279" s="5"/>
      <c r="J279" s="5" t="s">
        <v>103</v>
      </c>
      <c r="K279" s="5"/>
      <c r="L279" s="5" t="s">
        <v>101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</row>
    <row r="280" spans="1:32" hidden="1" x14ac:dyDescent="0.2">
      <c r="A280">
        <v>15321</v>
      </c>
      <c r="B280">
        <v>2148</v>
      </c>
      <c r="C280">
        <v>1</v>
      </c>
      <c r="D280">
        <v>11</v>
      </c>
      <c r="E280" s="5" t="s">
        <v>116</v>
      </c>
      <c r="F280" s="5" t="s">
        <v>3</v>
      </c>
      <c r="G280" s="5" t="s">
        <v>99</v>
      </c>
      <c r="H280" s="5" t="s">
        <v>28</v>
      </c>
      <c r="I280" s="5"/>
      <c r="J280" s="5" t="s">
        <v>100</v>
      </c>
      <c r="K280" s="5"/>
      <c r="L280" s="5" t="s">
        <v>101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</row>
    <row r="281" spans="1:32" hidden="1" x14ac:dyDescent="0.2">
      <c r="A281">
        <v>15321</v>
      </c>
      <c r="B281">
        <v>1593</v>
      </c>
      <c r="C281">
        <v>1</v>
      </c>
      <c r="D281">
        <v>11</v>
      </c>
      <c r="E281" s="5" t="s">
        <v>116</v>
      </c>
      <c r="F281" s="5" t="s">
        <v>102</v>
      </c>
      <c r="G281" s="5" t="s">
        <v>99</v>
      </c>
      <c r="H281" s="5" t="s">
        <v>28</v>
      </c>
      <c r="I281" s="5"/>
      <c r="J281" s="5" t="s">
        <v>103</v>
      </c>
      <c r="K281" s="5"/>
      <c r="L281" s="5" t="s">
        <v>101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</row>
    <row r="282" spans="1:32" hidden="1" x14ac:dyDescent="0.2">
      <c r="A282">
        <v>15321</v>
      </c>
      <c r="B282">
        <v>2148</v>
      </c>
      <c r="C282">
        <v>1</v>
      </c>
      <c r="D282">
        <v>14</v>
      </c>
      <c r="E282" s="5" t="s">
        <v>116</v>
      </c>
      <c r="F282" s="5" t="s">
        <v>3</v>
      </c>
      <c r="G282" s="5" t="s">
        <v>99</v>
      </c>
      <c r="H282" s="5" t="s">
        <v>1</v>
      </c>
      <c r="I282" s="5"/>
      <c r="J282" s="5" t="s">
        <v>100</v>
      </c>
      <c r="K282" s="5"/>
      <c r="L282" s="5" t="s">
        <v>101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</row>
    <row r="283" spans="1:32" hidden="1" x14ac:dyDescent="0.2">
      <c r="A283">
        <v>15321</v>
      </c>
      <c r="B283">
        <v>1593</v>
      </c>
      <c r="C283">
        <v>1</v>
      </c>
      <c r="D283">
        <v>14</v>
      </c>
      <c r="E283" s="5" t="s">
        <v>116</v>
      </c>
      <c r="F283" s="5" t="s">
        <v>102</v>
      </c>
      <c r="G283" s="5" t="s">
        <v>99</v>
      </c>
      <c r="H283" s="5" t="s">
        <v>1</v>
      </c>
      <c r="I283" s="5"/>
      <c r="J283" s="5" t="s">
        <v>103</v>
      </c>
      <c r="K283" s="5"/>
      <c r="L283" s="5" t="s">
        <v>101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</row>
    <row r="284" spans="1:32" hidden="1" x14ac:dyDescent="0.2">
      <c r="A284">
        <v>14268</v>
      </c>
      <c r="B284">
        <v>2148</v>
      </c>
      <c r="C284">
        <v>1</v>
      </c>
      <c r="D284">
        <v>15</v>
      </c>
      <c r="E284" s="5" t="s">
        <v>117</v>
      </c>
      <c r="F284" s="5" t="s">
        <v>3</v>
      </c>
      <c r="G284" s="5" t="s">
        <v>99</v>
      </c>
      <c r="H284" s="5" t="s">
        <v>15</v>
      </c>
      <c r="I284" s="5"/>
      <c r="J284" s="5" t="s">
        <v>100</v>
      </c>
      <c r="K284" s="5"/>
      <c r="L284" s="5" t="s">
        <v>101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</row>
    <row r="285" spans="1:32" hidden="1" x14ac:dyDescent="0.2">
      <c r="A285">
        <v>14268</v>
      </c>
      <c r="B285">
        <v>1593</v>
      </c>
      <c r="C285">
        <v>1</v>
      </c>
      <c r="D285">
        <v>15</v>
      </c>
      <c r="E285" s="5" t="s">
        <v>117</v>
      </c>
      <c r="F285" s="5" t="s">
        <v>102</v>
      </c>
      <c r="G285" s="5" t="s">
        <v>99</v>
      </c>
      <c r="H285" s="5" t="s">
        <v>15</v>
      </c>
      <c r="I285" s="5"/>
      <c r="J285" s="5" t="s">
        <v>103</v>
      </c>
      <c r="K285" s="5"/>
      <c r="L285" s="5" t="s">
        <v>101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</row>
    <row r="286" spans="1:32" hidden="1" x14ac:dyDescent="0.2">
      <c r="A286">
        <v>14268</v>
      </c>
      <c r="B286">
        <v>2148</v>
      </c>
      <c r="C286">
        <v>1</v>
      </c>
      <c r="D286">
        <v>6</v>
      </c>
      <c r="E286" s="5" t="s">
        <v>117</v>
      </c>
      <c r="F286" s="5" t="s">
        <v>3</v>
      </c>
      <c r="G286" s="5" t="s">
        <v>99</v>
      </c>
      <c r="H286" s="5" t="s">
        <v>17</v>
      </c>
      <c r="I286" s="5"/>
      <c r="J286" s="5" t="s">
        <v>100</v>
      </c>
      <c r="K286" s="5"/>
      <c r="L286" s="5" t="s">
        <v>101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</row>
    <row r="287" spans="1:32" hidden="1" x14ac:dyDescent="0.2">
      <c r="A287">
        <v>14268</v>
      </c>
      <c r="B287">
        <v>1593</v>
      </c>
      <c r="C287">
        <v>1</v>
      </c>
      <c r="D287">
        <v>6</v>
      </c>
      <c r="E287" s="5" t="s">
        <v>117</v>
      </c>
      <c r="F287" s="5" t="s">
        <v>102</v>
      </c>
      <c r="G287" s="5" t="s">
        <v>99</v>
      </c>
      <c r="H287" s="5" t="s">
        <v>17</v>
      </c>
      <c r="I287" s="5"/>
      <c r="J287" s="5" t="s">
        <v>103</v>
      </c>
      <c r="K287" s="5"/>
      <c r="L287" s="5" t="s">
        <v>101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</row>
    <row r="288" spans="1:32" hidden="1" x14ac:dyDescent="0.2">
      <c r="A288">
        <v>14268</v>
      </c>
      <c r="B288">
        <v>2148</v>
      </c>
      <c r="C288">
        <v>1</v>
      </c>
      <c r="D288">
        <v>1</v>
      </c>
      <c r="E288" s="5" t="s">
        <v>117</v>
      </c>
      <c r="F288" s="5" t="s">
        <v>3</v>
      </c>
      <c r="G288" s="5" t="s">
        <v>99</v>
      </c>
      <c r="H288" s="5" t="s">
        <v>19</v>
      </c>
      <c r="I288" s="5"/>
      <c r="J288" s="5" t="s">
        <v>100</v>
      </c>
      <c r="K288" s="5"/>
      <c r="L288" s="5" t="s">
        <v>101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</row>
    <row r="289" spans="1:32" x14ac:dyDescent="0.2">
      <c r="A289">
        <v>14268</v>
      </c>
      <c r="B289">
        <v>1593</v>
      </c>
      <c r="C289">
        <v>1</v>
      </c>
      <c r="D289">
        <v>1</v>
      </c>
      <c r="E289" s="5" t="s">
        <v>117</v>
      </c>
      <c r="F289" s="5" t="s">
        <v>102</v>
      </c>
      <c r="G289" s="5" t="s">
        <v>99</v>
      </c>
      <c r="H289" s="5" t="s">
        <v>19</v>
      </c>
      <c r="I289" s="5"/>
      <c r="J289" s="5" t="s">
        <v>103</v>
      </c>
      <c r="K289" s="5"/>
      <c r="L289" s="5" t="s">
        <v>101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</row>
    <row r="290" spans="1:32" hidden="1" x14ac:dyDescent="0.2">
      <c r="A290">
        <v>14268</v>
      </c>
      <c r="B290">
        <v>2148</v>
      </c>
      <c r="C290">
        <v>1</v>
      </c>
      <c r="D290">
        <v>13</v>
      </c>
      <c r="E290" s="5" t="s">
        <v>117</v>
      </c>
      <c r="F290" s="5" t="s">
        <v>3</v>
      </c>
      <c r="G290" s="5" t="s">
        <v>99</v>
      </c>
      <c r="H290" s="5" t="s">
        <v>20</v>
      </c>
      <c r="I290" s="5"/>
      <c r="J290" s="5" t="s">
        <v>100</v>
      </c>
      <c r="K290" s="5"/>
      <c r="L290" s="5" t="s">
        <v>101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</row>
    <row r="291" spans="1:32" hidden="1" x14ac:dyDescent="0.2">
      <c r="A291">
        <v>14268</v>
      </c>
      <c r="B291">
        <v>1593</v>
      </c>
      <c r="C291">
        <v>1</v>
      </c>
      <c r="D291">
        <v>13</v>
      </c>
      <c r="E291" s="5" t="s">
        <v>117</v>
      </c>
      <c r="F291" s="5" t="s">
        <v>102</v>
      </c>
      <c r="G291" s="5" t="s">
        <v>99</v>
      </c>
      <c r="H291" s="5" t="s">
        <v>20</v>
      </c>
      <c r="I291" s="5"/>
      <c r="J291" s="5" t="s">
        <v>103</v>
      </c>
      <c r="K291" s="5"/>
      <c r="L291" s="5" t="s">
        <v>101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</row>
    <row r="292" spans="1:32" hidden="1" x14ac:dyDescent="0.2">
      <c r="A292">
        <v>14268</v>
      </c>
      <c r="B292">
        <v>2148</v>
      </c>
      <c r="C292">
        <v>1</v>
      </c>
      <c r="D292">
        <v>17</v>
      </c>
      <c r="E292" s="5" t="s">
        <v>117</v>
      </c>
      <c r="F292" s="5" t="s">
        <v>3</v>
      </c>
      <c r="G292" s="5" t="s">
        <v>99</v>
      </c>
      <c r="H292" s="5" t="s">
        <v>22</v>
      </c>
      <c r="I292" s="5"/>
      <c r="J292" s="5" t="s">
        <v>100</v>
      </c>
      <c r="K292" s="5"/>
      <c r="L292" s="5" t="s">
        <v>101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</row>
    <row r="293" spans="1:32" hidden="1" x14ac:dyDescent="0.2">
      <c r="A293">
        <v>14268</v>
      </c>
      <c r="B293">
        <v>1593</v>
      </c>
      <c r="C293">
        <v>1</v>
      </c>
      <c r="D293">
        <v>17</v>
      </c>
      <c r="E293" s="5" t="s">
        <v>117</v>
      </c>
      <c r="F293" s="5" t="s">
        <v>102</v>
      </c>
      <c r="G293" s="5" t="s">
        <v>99</v>
      </c>
      <c r="H293" s="5" t="s">
        <v>22</v>
      </c>
      <c r="I293" s="5"/>
      <c r="J293" s="5" t="s">
        <v>103</v>
      </c>
      <c r="K293" s="5"/>
      <c r="L293" s="5" t="s">
        <v>101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</row>
    <row r="294" spans="1:32" hidden="1" x14ac:dyDescent="0.2">
      <c r="A294">
        <v>14268</v>
      </c>
      <c r="B294">
        <v>2148</v>
      </c>
      <c r="C294">
        <v>1</v>
      </c>
      <c r="D294">
        <v>12</v>
      </c>
      <c r="E294" s="5" t="s">
        <v>117</v>
      </c>
      <c r="F294" s="5" t="s">
        <v>3</v>
      </c>
      <c r="G294" s="5" t="s">
        <v>99</v>
      </c>
      <c r="H294" s="5" t="s">
        <v>23</v>
      </c>
      <c r="I294" s="5"/>
      <c r="J294" s="5" t="s">
        <v>100</v>
      </c>
      <c r="K294" s="5"/>
      <c r="L294" s="5" t="s">
        <v>101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</row>
    <row r="295" spans="1:32" hidden="1" x14ac:dyDescent="0.2">
      <c r="A295">
        <v>14268</v>
      </c>
      <c r="B295">
        <v>1593</v>
      </c>
      <c r="C295">
        <v>1</v>
      </c>
      <c r="D295">
        <v>12</v>
      </c>
      <c r="E295" s="5" t="s">
        <v>117</v>
      </c>
      <c r="F295" s="5" t="s">
        <v>102</v>
      </c>
      <c r="G295" s="5" t="s">
        <v>99</v>
      </c>
      <c r="H295" s="5" t="s">
        <v>23</v>
      </c>
      <c r="I295" s="5"/>
      <c r="J295" s="5" t="s">
        <v>103</v>
      </c>
      <c r="K295" s="5"/>
      <c r="L295" s="5" t="s">
        <v>101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</row>
    <row r="296" spans="1:32" hidden="1" x14ac:dyDescent="0.2">
      <c r="A296">
        <v>14268</v>
      </c>
      <c r="B296">
        <v>2148</v>
      </c>
      <c r="C296">
        <v>1</v>
      </c>
      <c r="D296">
        <v>19</v>
      </c>
      <c r="E296" s="5" t="s">
        <v>117</v>
      </c>
      <c r="F296" s="5" t="s">
        <v>3</v>
      </c>
      <c r="G296" s="5" t="s">
        <v>99</v>
      </c>
      <c r="H296" s="5" t="s">
        <v>25</v>
      </c>
      <c r="I296" s="5"/>
      <c r="J296" s="5" t="s">
        <v>100</v>
      </c>
      <c r="K296" s="5"/>
      <c r="L296" s="5" t="s">
        <v>101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</row>
    <row r="297" spans="1:32" hidden="1" x14ac:dyDescent="0.2">
      <c r="A297">
        <v>14268</v>
      </c>
      <c r="B297">
        <v>1593</v>
      </c>
      <c r="C297">
        <v>1</v>
      </c>
      <c r="D297">
        <v>19</v>
      </c>
      <c r="E297" s="5" t="s">
        <v>117</v>
      </c>
      <c r="F297" s="5" t="s">
        <v>102</v>
      </c>
      <c r="G297" s="5" t="s">
        <v>99</v>
      </c>
      <c r="H297" s="5" t="s">
        <v>25</v>
      </c>
      <c r="I297" s="5"/>
      <c r="J297" s="5" t="s">
        <v>103</v>
      </c>
      <c r="K297" s="5"/>
      <c r="L297" s="5" t="s">
        <v>101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</row>
    <row r="298" spans="1:32" hidden="1" x14ac:dyDescent="0.2">
      <c r="A298">
        <v>14268</v>
      </c>
      <c r="B298">
        <v>2148</v>
      </c>
      <c r="C298">
        <v>1</v>
      </c>
      <c r="D298">
        <v>16</v>
      </c>
      <c r="E298" s="5" t="s">
        <v>117</v>
      </c>
      <c r="F298" s="5" t="s">
        <v>3</v>
      </c>
      <c r="G298" s="5" t="s">
        <v>99</v>
      </c>
      <c r="H298" s="5" t="s">
        <v>27</v>
      </c>
      <c r="I298" s="5"/>
      <c r="J298" s="5" t="s">
        <v>100</v>
      </c>
      <c r="K298" s="5"/>
      <c r="L298" s="5" t="s">
        <v>101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</row>
    <row r="299" spans="1:32" hidden="1" x14ac:dyDescent="0.2">
      <c r="A299">
        <v>14268</v>
      </c>
      <c r="B299">
        <v>1593</v>
      </c>
      <c r="C299">
        <v>1</v>
      </c>
      <c r="D299">
        <v>16</v>
      </c>
      <c r="E299" s="5" t="s">
        <v>117</v>
      </c>
      <c r="F299" s="5" t="s">
        <v>102</v>
      </c>
      <c r="G299" s="5" t="s">
        <v>99</v>
      </c>
      <c r="H299" s="5" t="s">
        <v>27</v>
      </c>
      <c r="I299" s="5"/>
      <c r="J299" s="5" t="s">
        <v>103</v>
      </c>
      <c r="K299" s="5"/>
      <c r="L299" s="5" t="s">
        <v>101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</row>
    <row r="300" spans="1:32" hidden="1" x14ac:dyDescent="0.2">
      <c r="A300">
        <v>14268</v>
      </c>
      <c r="B300">
        <v>2148</v>
      </c>
      <c r="C300">
        <v>1</v>
      </c>
      <c r="D300">
        <v>11</v>
      </c>
      <c r="E300" s="5" t="s">
        <v>117</v>
      </c>
      <c r="F300" s="5" t="s">
        <v>3</v>
      </c>
      <c r="G300" s="5" t="s">
        <v>99</v>
      </c>
      <c r="H300" s="5" t="s">
        <v>28</v>
      </c>
      <c r="I300" s="5"/>
      <c r="J300" s="5" t="s">
        <v>100</v>
      </c>
      <c r="K300" s="5"/>
      <c r="L300" s="5" t="s">
        <v>101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</row>
    <row r="301" spans="1:32" hidden="1" x14ac:dyDescent="0.2">
      <c r="A301">
        <v>14268</v>
      </c>
      <c r="B301">
        <v>1593</v>
      </c>
      <c r="C301">
        <v>1</v>
      </c>
      <c r="D301">
        <v>11</v>
      </c>
      <c r="E301" s="5" t="s">
        <v>117</v>
      </c>
      <c r="F301" s="5" t="s">
        <v>102</v>
      </c>
      <c r="G301" s="5" t="s">
        <v>99</v>
      </c>
      <c r="H301" s="5" t="s">
        <v>28</v>
      </c>
      <c r="I301" s="5"/>
      <c r="J301" s="5" t="s">
        <v>103</v>
      </c>
      <c r="K301" s="5"/>
      <c r="L301" s="5" t="s">
        <v>101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</row>
    <row r="302" spans="1:32" hidden="1" x14ac:dyDescent="0.2">
      <c r="A302">
        <v>14268</v>
      </c>
      <c r="B302">
        <v>2148</v>
      </c>
      <c r="C302">
        <v>1</v>
      </c>
      <c r="D302">
        <v>14</v>
      </c>
      <c r="E302" s="5" t="s">
        <v>117</v>
      </c>
      <c r="F302" s="5" t="s">
        <v>3</v>
      </c>
      <c r="G302" s="5" t="s">
        <v>99</v>
      </c>
      <c r="H302" s="5" t="s">
        <v>1</v>
      </c>
      <c r="I302" s="5"/>
      <c r="J302" s="5" t="s">
        <v>100</v>
      </c>
      <c r="K302" s="5"/>
      <c r="L302" s="5" t="s">
        <v>101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</row>
    <row r="303" spans="1:32" hidden="1" x14ac:dyDescent="0.2">
      <c r="A303">
        <v>14268</v>
      </c>
      <c r="B303">
        <v>1593</v>
      </c>
      <c r="C303">
        <v>1</v>
      </c>
      <c r="D303">
        <v>14</v>
      </c>
      <c r="E303" s="5" t="s">
        <v>117</v>
      </c>
      <c r="F303" s="5" t="s">
        <v>102</v>
      </c>
      <c r="G303" s="5" t="s">
        <v>99</v>
      </c>
      <c r="H303" s="5" t="s">
        <v>1</v>
      </c>
      <c r="I303" s="5"/>
      <c r="J303" s="5" t="s">
        <v>103</v>
      </c>
      <c r="K303" s="5"/>
      <c r="L303" s="5" t="s">
        <v>101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</row>
    <row r="304" spans="1:32" hidden="1" x14ac:dyDescent="0.2">
      <c r="A304">
        <v>14428</v>
      </c>
      <c r="B304">
        <v>2148</v>
      </c>
      <c r="C304">
        <v>1</v>
      </c>
      <c r="D304">
        <v>15</v>
      </c>
      <c r="E304" s="5" t="s">
        <v>118</v>
      </c>
      <c r="F304" s="5" t="s">
        <v>3</v>
      </c>
      <c r="G304" s="5" t="s">
        <v>99</v>
      </c>
      <c r="H304" s="5" t="s">
        <v>15</v>
      </c>
      <c r="I304" s="5"/>
      <c r="J304" s="5" t="s">
        <v>100</v>
      </c>
      <c r="K304" s="5"/>
      <c r="L304" s="5" t="s">
        <v>101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</row>
    <row r="305" spans="1:32" hidden="1" x14ac:dyDescent="0.2">
      <c r="A305">
        <v>14428</v>
      </c>
      <c r="B305">
        <v>1593</v>
      </c>
      <c r="C305">
        <v>1</v>
      </c>
      <c r="D305">
        <v>15</v>
      </c>
      <c r="E305" s="5" t="s">
        <v>118</v>
      </c>
      <c r="F305" s="5" t="s">
        <v>102</v>
      </c>
      <c r="G305" s="5" t="s">
        <v>99</v>
      </c>
      <c r="H305" s="5" t="s">
        <v>15</v>
      </c>
      <c r="I305" s="5"/>
      <c r="J305" s="5" t="s">
        <v>103</v>
      </c>
      <c r="K305" s="5"/>
      <c r="L305" s="5" t="s">
        <v>101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</row>
    <row r="306" spans="1:32" hidden="1" x14ac:dyDescent="0.2">
      <c r="A306">
        <v>14428</v>
      </c>
      <c r="B306">
        <v>2148</v>
      </c>
      <c r="C306">
        <v>1</v>
      </c>
      <c r="D306">
        <v>6</v>
      </c>
      <c r="E306" s="5" t="s">
        <v>118</v>
      </c>
      <c r="F306" s="5" t="s">
        <v>3</v>
      </c>
      <c r="G306" s="5" t="s">
        <v>99</v>
      </c>
      <c r="H306" s="5" t="s">
        <v>17</v>
      </c>
      <c r="I306" s="5"/>
      <c r="J306" s="5" t="s">
        <v>100</v>
      </c>
      <c r="K306" s="5"/>
      <c r="L306" s="5" t="s">
        <v>101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</row>
    <row r="307" spans="1:32" hidden="1" x14ac:dyDescent="0.2">
      <c r="A307">
        <v>14428</v>
      </c>
      <c r="B307">
        <v>1593</v>
      </c>
      <c r="C307">
        <v>1</v>
      </c>
      <c r="D307">
        <v>6</v>
      </c>
      <c r="E307" s="5" t="s">
        <v>118</v>
      </c>
      <c r="F307" s="5" t="s">
        <v>102</v>
      </c>
      <c r="G307" s="5" t="s">
        <v>99</v>
      </c>
      <c r="H307" s="5" t="s">
        <v>17</v>
      </c>
      <c r="I307" s="5"/>
      <c r="J307" s="5" t="s">
        <v>103</v>
      </c>
      <c r="K307" s="5"/>
      <c r="L307" s="5" t="s">
        <v>101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</row>
    <row r="308" spans="1:32" hidden="1" x14ac:dyDescent="0.2">
      <c r="A308">
        <v>14428</v>
      </c>
      <c r="B308">
        <v>2148</v>
      </c>
      <c r="C308">
        <v>1</v>
      </c>
      <c r="D308">
        <v>1</v>
      </c>
      <c r="E308" s="5" t="s">
        <v>118</v>
      </c>
      <c r="F308" s="5" t="s">
        <v>3</v>
      </c>
      <c r="G308" s="5" t="s">
        <v>99</v>
      </c>
      <c r="H308" s="5" t="s">
        <v>19</v>
      </c>
      <c r="I308" s="5"/>
      <c r="J308" s="5" t="s">
        <v>100</v>
      </c>
      <c r="K308" s="5"/>
      <c r="L308" s="5" t="s">
        <v>101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</row>
    <row r="309" spans="1:32" x14ac:dyDescent="0.2">
      <c r="A309">
        <v>14428</v>
      </c>
      <c r="B309">
        <v>1593</v>
      </c>
      <c r="C309">
        <v>1</v>
      </c>
      <c r="D309">
        <v>1</v>
      </c>
      <c r="E309" s="5" t="s">
        <v>118</v>
      </c>
      <c r="F309" s="5" t="s">
        <v>102</v>
      </c>
      <c r="G309" s="5" t="s">
        <v>99</v>
      </c>
      <c r="H309" s="5" t="s">
        <v>19</v>
      </c>
      <c r="I309" s="5"/>
      <c r="J309" s="5" t="s">
        <v>103</v>
      </c>
      <c r="K309" s="5"/>
      <c r="L309" s="5" t="s">
        <v>101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</row>
    <row r="310" spans="1:32" hidden="1" x14ac:dyDescent="0.2">
      <c r="A310">
        <v>14428</v>
      </c>
      <c r="B310">
        <v>2148</v>
      </c>
      <c r="C310">
        <v>1</v>
      </c>
      <c r="D310">
        <v>13</v>
      </c>
      <c r="E310" s="5" t="s">
        <v>118</v>
      </c>
      <c r="F310" s="5" t="s">
        <v>3</v>
      </c>
      <c r="G310" s="5" t="s">
        <v>99</v>
      </c>
      <c r="H310" s="5" t="s">
        <v>20</v>
      </c>
      <c r="I310" s="5"/>
      <c r="J310" s="5" t="s">
        <v>100</v>
      </c>
      <c r="K310" s="5"/>
      <c r="L310" s="5" t="s">
        <v>101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</row>
    <row r="311" spans="1:32" hidden="1" x14ac:dyDescent="0.2">
      <c r="A311">
        <v>14428</v>
      </c>
      <c r="B311">
        <v>1593</v>
      </c>
      <c r="C311">
        <v>1</v>
      </c>
      <c r="D311">
        <v>13</v>
      </c>
      <c r="E311" s="5" t="s">
        <v>118</v>
      </c>
      <c r="F311" s="5" t="s">
        <v>102</v>
      </c>
      <c r="G311" s="5" t="s">
        <v>99</v>
      </c>
      <c r="H311" s="5" t="s">
        <v>20</v>
      </c>
      <c r="I311" s="5"/>
      <c r="J311" s="5" t="s">
        <v>103</v>
      </c>
      <c r="K311" s="5"/>
      <c r="L311" s="5" t="s">
        <v>101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</row>
    <row r="312" spans="1:32" hidden="1" x14ac:dyDescent="0.2">
      <c r="A312">
        <v>14428</v>
      </c>
      <c r="B312">
        <v>2148</v>
      </c>
      <c r="C312">
        <v>1</v>
      </c>
      <c r="D312">
        <v>17</v>
      </c>
      <c r="E312" s="5" t="s">
        <v>118</v>
      </c>
      <c r="F312" s="5" t="s">
        <v>3</v>
      </c>
      <c r="G312" s="5" t="s">
        <v>99</v>
      </c>
      <c r="H312" s="5" t="s">
        <v>22</v>
      </c>
      <c r="I312" s="5"/>
      <c r="J312" s="5" t="s">
        <v>100</v>
      </c>
      <c r="K312" s="5"/>
      <c r="L312" s="5" t="s">
        <v>101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</row>
    <row r="313" spans="1:32" hidden="1" x14ac:dyDescent="0.2">
      <c r="A313">
        <v>14428</v>
      </c>
      <c r="B313">
        <v>1593</v>
      </c>
      <c r="C313">
        <v>1</v>
      </c>
      <c r="D313">
        <v>17</v>
      </c>
      <c r="E313" s="5" t="s">
        <v>118</v>
      </c>
      <c r="F313" s="5" t="s">
        <v>102</v>
      </c>
      <c r="G313" s="5" t="s">
        <v>99</v>
      </c>
      <c r="H313" s="5" t="s">
        <v>22</v>
      </c>
      <c r="I313" s="5"/>
      <c r="J313" s="5" t="s">
        <v>103</v>
      </c>
      <c r="K313" s="5"/>
      <c r="L313" s="5" t="s">
        <v>101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</row>
    <row r="314" spans="1:32" hidden="1" x14ac:dyDescent="0.2">
      <c r="A314">
        <v>14428</v>
      </c>
      <c r="B314">
        <v>2148</v>
      </c>
      <c r="C314">
        <v>1</v>
      </c>
      <c r="D314">
        <v>12</v>
      </c>
      <c r="E314" s="5" t="s">
        <v>118</v>
      </c>
      <c r="F314" s="5" t="s">
        <v>3</v>
      </c>
      <c r="G314" s="5" t="s">
        <v>99</v>
      </c>
      <c r="H314" s="5" t="s">
        <v>23</v>
      </c>
      <c r="I314" s="5"/>
      <c r="J314" s="5" t="s">
        <v>100</v>
      </c>
      <c r="K314" s="5"/>
      <c r="L314" s="5" t="s">
        <v>101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</row>
    <row r="315" spans="1:32" hidden="1" x14ac:dyDescent="0.2">
      <c r="A315">
        <v>14428</v>
      </c>
      <c r="B315">
        <v>1593</v>
      </c>
      <c r="C315">
        <v>1</v>
      </c>
      <c r="D315">
        <v>12</v>
      </c>
      <c r="E315" s="5" t="s">
        <v>118</v>
      </c>
      <c r="F315" s="5" t="s">
        <v>102</v>
      </c>
      <c r="G315" s="5" t="s">
        <v>99</v>
      </c>
      <c r="H315" s="5" t="s">
        <v>23</v>
      </c>
      <c r="I315" s="5"/>
      <c r="J315" s="5" t="s">
        <v>103</v>
      </c>
      <c r="K315" s="5"/>
      <c r="L315" s="5" t="s">
        <v>101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</row>
    <row r="316" spans="1:32" hidden="1" x14ac:dyDescent="0.2">
      <c r="A316">
        <v>14428</v>
      </c>
      <c r="B316">
        <v>2148</v>
      </c>
      <c r="C316">
        <v>1</v>
      </c>
      <c r="D316">
        <v>19</v>
      </c>
      <c r="E316" s="5" t="s">
        <v>118</v>
      </c>
      <c r="F316" s="5" t="s">
        <v>3</v>
      </c>
      <c r="G316" s="5" t="s">
        <v>99</v>
      </c>
      <c r="H316" s="5" t="s">
        <v>25</v>
      </c>
      <c r="I316" s="5"/>
      <c r="J316" s="5" t="s">
        <v>100</v>
      </c>
      <c r="K316" s="5"/>
      <c r="L316" s="5" t="s">
        <v>101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</row>
    <row r="317" spans="1:32" hidden="1" x14ac:dyDescent="0.2">
      <c r="A317">
        <v>14428</v>
      </c>
      <c r="B317">
        <v>1593</v>
      </c>
      <c r="C317">
        <v>1</v>
      </c>
      <c r="D317">
        <v>19</v>
      </c>
      <c r="E317" s="5" t="s">
        <v>118</v>
      </c>
      <c r="F317" s="5" t="s">
        <v>102</v>
      </c>
      <c r="G317" s="5" t="s">
        <v>99</v>
      </c>
      <c r="H317" s="5" t="s">
        <v>25</v>
      </c>
      <c r="I317" s="5"/>
      <c r="J317" s="5" t="s">
        <v>103</v>
      </c>
      <c r="K317" s="5"/>
      <c r="L317" s="5" t="s">
        <v>101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</row>
    <row r="318" spans="1:32" hidden="1" x14ac:dyDescent="0.2">
      <c r="A318">
        <v>14428</v>
      </c>
      <c r="B318">
        <v>2148</v>
      </c>
      <c r="C318">
        <v>1</v>
      </c>
      <c r="D318">
        <v>16</v>
      </c>
      <c r="E318" s="5" t="s">
        <v>118</v>
      </c>
      <c r="F318" s="5" t="s">
        <v>3</v>
      </c>
      <c r="G318" s="5" t="s">
        <v>99</v>
      </c>
      <c r="H318" s="5" t="s">
        <v>27</v>
      </c>
      <c r="I318" s="5"/>
      <c r="J318" s="5" t="s">
        <v>100</v>
      </c>
      <c r="K318" s="5"/>
      <c r="L318" s="5" t="s">
        <v>101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</row>
    <row r="319" spans="1:32" hidden="1" x14ac:dyDescent="0.2">
      <c r="A319">
        <v>14428</v>
      </c>
      <c r="B319">
        <v>1593</v>
      </c>
      <c r="C319">
        <v>1</v>
      </c>
      <c r="D319">
        <v>16</v>
      </c>
      <c r="E319" s="5" t="s">
        <v>118</v>
      </c>
      <c r="F319" s="5" t="s">
        <v>102</v>
      </c>
      <c r="G319" s="5" t="s">
        <v>99</v>
      </c>
      <c r="H319" s="5" t="s">
        <v>27</v>
      </c>
      <c r="I319" s="5"/>
      <c r="J319" s="5" t="s">
        <v>103</v>
      </c>
      <c r="K319" s="5"/>
      <c r="L319" s="5" t="s">
        <v>101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</row>
    <row r="320" spans="1:32" hidden="1" x14ac:dyDescent="0.2">
      <c r="A320">
        <v>14428</v>
      </c>
      <c r="B320">
        <v>2148</v>
      </c>
      <c r="C320">
        <v>1</v>
      </c>
      <c r="D320">
        <v>11</v>
      </c>
      <c r="E320" s="5" t="s">
        <v>118</v>
      </c>
      <c r="F320" s="5" t="s">
        <v>3</v>
      </c>
      <c r="G320" s="5" t="s">
        <v>99</v>
      </c>
      <c r="H320" s="5" t="s">
        <v>28</v>
      </c>
      <c r="I320" s="5"/>
      <c r="J320" s="5" t="s">
        <v>100</v>
      </c>
      <c r="K320" s="5"/>
      <c r="L320" s="5" t="s">
        <v>101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</row>
    <row r="321" spans="1:32" hidden="1" x14ac:dyDescent="0.2">
      <c r="A321">
        <v>14428</v>
      </c>
      <c r="B321">
        <v>1593</v>
      </c>
      <c r="C321">
        <v>1</v>
      </c>
      <c r="D321">
        <v>11</v>
      </c>
      <c r="E321" s="5" t="s">
        <v>118</v>
      </c>
      <c r="F321" s="5" t="s">
        <v>102</v>
      </c>
      <c r="G321" s="5" t="s">
        <v>99</v>
      </c>
      <c r="H321" s="5" t="s">
        <v>28</v>
      </c>
      <c r="I321" s="5"/>
      <c r="J321" s="5" t="s">
        <v>103</v>
      </c>
      <c r="K321" s="5"/>
      <c r="L321" s="5" t="s">
        <v>101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</row>
    <row r="322" spans="1:32" hidden="1" x14ac:dyDescent="0.2">
      <c r="A322">
        <v>14428</v>
      </c>
      <c r="B322">
        <v>2148</v>
      </c>
      <c r="C322">
        <v>1</v>
      </c>
      <c r="D322">
        <v>14</v>
      </c>
      <c r="E322" s="5" t="s">
        <v>118</v>
      </c>
      <c r="F322" s="5" t="s">
        <v>3</v>
      </c>
      <c r="G322" s="5" t="s">
        <v>99</v>
      </c>
      <c r="H322" s="5" t="s">
        <v>1</v>
      </c>
      <c r="I322" s="5"/>
      <c r="J322" s="5" t="s">
        <v>100</v>
      </c>
      <c r="K322" s="5"/>
      <c r="L322" s="5" t="s">
        <v>101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</row>
    <row r="323" spans="1:32" hidden="1" x14ac:dyDescent="0.2">
      <c r="A323">
        <v>14428</v>
      </c>
      <c r="B323">
        <v>1593</v>
      </c>
      <c r="C323">
        <v>1</v>
      </c>
      <c r="D323">
        <v>14</v>
      </c>
      <c r="E323" s="5" t="s">
        <v>118</v>
      </c>
      <c r="F323" s="5" t="s">
        <v>102</v>
      </c>
      <c r="G323" s="5" t="s">
        <v>99</v>
      </c>
      <c r="H323" s="5" t="s">
        <v>1</v>
      </c>
      <c r="I323" s="5"/>
      <c r="J323" s="5" t="s">
        <v>103</v>
      </c>
      <c r="K323" s="5"/>
      <c r="L323" s="5" t="s">
        <v>101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</row>
    <row r="324" spans="1:32" hidden="1" x14ac:dyDescent="0.2">
      <c r="A324">
        <v>15317</v>
      </c>
      <c r="B324">
        <v>2148</v>
      </c>
      <c r="C324">
        <v>1</v>
      </c>
      <c r="D324">
        <v>15</v>
      </c>
      <c r="E324" s="5" t="s">
        <v>119</v>
      </c>
      <c r="F324" s="5" t="s">
        <v>3</v>
      </c>
      <c r="G324" s="5" t="s">
        <v>99</v>
      </c>
      <c r="H324" s="5" t="s">
        <v>15</v>
      </c>
      <c r="I324" s="5"/>
      <c r="J324" s="5" t="s">
        <v>100</v>
      </c>
      <c r="K324" s="5"/>
      <c r="L324" s="5" t="s">
        <v>101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</row>
    <row r="325" spans="1:32" hidden="1" x14ac:dyDescent="0.2">
      <c r="A325">
        <v>15317</v>
      </c>
      <c r="B325">
        <v>1593</v>
      </c>
      <c r="C325">
        <v>1</v>
      </c>
      <c r="D325">
        <v>15</v>
      </c>
      <c r="E325" s="5" t="s">
        <v>119</v>
      </c>
      <c r="F325" s="5" t="s">
        <v>102</v>
      </c>
      <c r="G325" s="5" t="s">
        <v>99</v>
      </c>
      <c r="H325" s="5" t="s">
        <v>15</v>
      </c>
      <c r="I325" s="5"/>
      <c r="J325" s="5" t="s">
        <v>103</v>
      </c>
      <c r="K325" s="5"/>
      <c r="L325" s="5" t="s">
        <v>101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</row>
    <row r="326" spans="1:32" hidden="1" x14ac:dyDescent="0.2">
      <c r="A326">
        <v>15317</v>
      </c>
      <c r="B326">
        <v>2148</v>
      </c>
      <c r="C326">
        <v>1</v>
      </c>
      <c r="D326">
        <v>6</v>
      </c>
      <c r="E326" s="5" t="s">
        <v>119</v>
      </c>
      <c r="F326" s="5" t="s">
        <v>3</v>
      </c>
      <c r="G326" s="5" t="s">
        <v>99</v>
      </c>
      <c r="H326" s="5" t="s">
        <v>17</v>
      </c>
      <c r="I326" s="5"/>
      <c r="J326" s="5" t="s">
        <v>100</v>
      </c>
      <c r="K326" s="5"/>
      <c r="L326" s="5" t="s">
        <v>101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</row>
    <row r="327" spans="1:32" hidden="1" x14ac:dyDescent="0.2">
      <c r="A327">
        <v>15317</v>
      </c>
      <c r="B327">
        <v>1593</v>
      </c>
      <c r="C327">
        <v>1</v>
      </c>
      <c r="D327">
        <v>6</v>
      </c>
      <c r="E327" s="5" t="s">
        <v>119</v>
      </c>
      <c r="F327" s="5" t="s">
        <v>102</v>
      </c>
      <c r="G327" s="5" t="s">
        <v>99</v>
      </c>
      <c r="H327" s="5" t="s">
        <v>17</v>
      </c>
      <c r="I327" s="5"/>
      <c r="J327" s="5" t="s">
        <v>103</v>
      </c>
      <c r="K327" s="5"/>
      <c r="L327" s="5" t="s">
        <v>101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</row>
    <row r="328" spans="1:32" hidden="1" x14ac:dyDescent="0.2">
      <c r="A328">
        <v>15317</v>
      </c>
      <c r="B328">
        <v>2148</v>
      </c>
      <c r="C328">
        <v>1</v>
      </c>
      <c r="D328">
        <v>1</v>
      </c>
      <c r="E328" s="5" t="s">
        <v>119</v>
      </c>
      <c r="F328" s="5" t="s">
        <v>3</v>
      </c>
      <c r="G328" s="5" t="s">
        <v>99</v>
      </c>
      <c r="H328" s="5" t="s">
        <v>19</v>
      </c>
      <c r="I328" s="5"/>
      <c r="J328" s="5" t="s">
        <v>100</v>
      </c>
      <c r="K328" s="5"/>
      <c r="L328" s="5" t="s">
        <v>101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</row>
    <row r="329" spans="1:32" x14ac:dyDescent="0.2">
      <c r="A329">
        <v>15317</v>
      </c>
      <c r="B329">
        <v>1593</v>
      </c>
      <c r="C329">
        <v>1</v>
      </c>
      <c r="D329">
        <v>1</v>
      </c>
      <c r="E329" s="5" t="s">
        <v>119</v>
      </c>
      <c r="F329" s="5" t="s">
        <v>102</v>
      </c>
      <c r="G329" s="5" t="s">
        <v>99</v>
      </c>
      <c r="H329" s="5" t="s">
        <v>19</v>
      </c>
      <c r="I329" s="5"/>
      <c r="J329" s="5" t="s">
        <v>103</v>
      </c>
      <c r="K329" s="5"/>
      <c r="L329" s="5" t="s">
        <v>101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</row>
    <row r="330" spans="1:32" hidden="1" x14ac:dyDescent="0.2">
      <c r="A330">
        <v>15317</v>
      </c>
      <c r="B330">
        <v>2148</v>
      </c>
      <c r="C330">
        <v>1</v>
      </c>
      <c r="D330">
        <v>13</v>
      </c>
      <c r="E330" s="5" t="s">
        <v>119</v>
      </c>
      <c r="F330" s="5" t="s">
        <v>3</v>
      </c>
      <c r="G330" s="5" t="s">
        <v>99</v>
      </c>
      <c r="H330" s="5" t="s">
        <v>20</v>
      </c>
      <c r="I330" s="5"/>
      <c r="J330" s="5" t="s">
        <v>100</v>
      </c>
      <c r="K330" s="5"/>
      <c r="L330" s="5" t="s">
        <v>101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</row>
    <row r="331" spans="1:32" hidden="1" x14ac:dyDescent="0.2">
      <c r="A331">
        <v>15317</v>
      </c>
      <c r="B331">
        <v>1593</v>
      </c>
      <c r="C331">
        <v>1</v>
      </c>
      <c r="D331">
        <v>13</v>
      </c>
      <c r="E331" s="5" t="s">
        <v>119</v>
      </c>
      <c r="F331" s="5" t="s">
        <v>102</v>
      </c>
      <c r="G331" s="5" t="s">
        <v>99</v>
      </c>
      <c r="H331" s="5" t="s">
        <v>20</v>
      </c>
      <c r="I331" s="5"/>
      <c r="J331" s="5" t="s">
        <v>103</v>
      </c>
      <c r="K331" s="5"/>
      <c r="L331" s="5" t="s">
        <v>101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</row>
    <row r="332" spans="1:32" hidden="1" x14ac:dyDescent="0.2">
      <c r="A332">
        <v>15317</v>
      </c>
      <c r="B332">
        <v>2148</v>
      </c>
      <c r="C332">
        <v>1</v>
      </c>
      <c r="D332">
        <v>17</v>
      </c>
      <c r="E332" s="5" t="s">
        <v>119</v>
      </c>
      <c r="F332" s="5" t="s">
        <v>3</v>
      </c>
      <c r="G332" s="5" t="s">
        <v>99</v>
      </c>
      <c r="H332" s="5" t="s">
        <v>22</v>
      </c>
      <c r="I332" s="5"/>
      <c r="J332" s="5" t="s">
        <v>100</v>
      </c>
      <c r="K332" s="5"/>
      <c r="L332" s="5" t="s">
        <v>101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</row>
    <row r="333" spans="1:32" hidden="1" x14ac:dyDescent="0.2">
      <c r="A333">
        <v>15317</v>
      </c>
      <c r="B333">
        <v>1593</v>
      </c>
      <c r="C333">
        <v>1</v>
      </c>
      <c r="D333">
        <v>17</v>
      </c>
      <c r="E333" s="5" t="s">
        <v>119</v>
      </c>
      <c r="F333" s="5" t="s">
        <v>102</v>
      </c>
      <c r="G333" s="5" t="s">
        <v>99</v>
      </c>
      <c r="H333" s="5" t="s">
        <v>22</v>
      </c>
      <c r="I333" s="5"/>
      <c r="J333" s="5" t="s">
        <v>103</v>
      </c>
      <c r="K333" s="5"/>
      <c r="L333" s="5" t="s">
        <v>101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</row>
    <row r="334" spans="1:32" hidden="1" x14ac:dyDescent="0.2">
      <c r="A334">
        <v>15317</v>
      </c>
      <c r="B334">
        <v>2148</v>
      </c>
      <c r="C334">
        <v>1</v>
      </c>
      <c r="D334">
        <v>12</v>
      </c>
      <c r="E334" s="5" t="s">
        <v>119</v>
      </c>
      <c r="F334" s="5" t="s">
        <v>3</v>
      </c>
      <c r="G334" s="5" t="s">
        <v>99</v>
      </c>
      <c r="H334" s="5" t="s">
        <v>23</v>
      </c>
      <c r="I334" s="5"/>
      <c r="J334" s="5" t="s">
        <v>100</v>
      </c>
      <c r="K334" s="5"/>
      <c r="L334" s="5" t="s">
        <v>101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</row>
    <row r="335" spans="1:32" hidden="1" x14ac:dyDescent="0.2">
      <c r="A335">
        <v>15317</v>
      </c>
      <c r="B335">
        <v>1593</v>
      </c>
      <c r="C335">
        <v>1</v>
      </c>
      <c r="D335">
        <v>12</v>
      </c>
      <c r="E335" s="5" t="s">
        <v>119</v>
      </c>
      <c r="F335" s="5" t="s">
        <v>102</v>
      </c>
      <c r="G335" s="5" t="s">
        <v>99</v>
      </c>
      <c r="H335" s="5" t="s">
        <v>23</v>
      </c>
      <c r="I335" s="5"/>
      <c r="J335" s="5" t="s">
        <v>103</v>
      </c>
      <c r="K335" s="5"/>
      <c r="L335" s="5" t="s">
        <v>101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</row>
    <row r="336" spans="1:32" hidden="1" x14ac:dyDescent="0.2">
      <c r="A336">
        <v>15317</v>
      </c>
      <c r="B336">
        <v>2148</v>
      </c>
      <c r="C336">
        <v>1</v>
      </c>
      <c r="D336">
        <v>19</v>
      </c>
      <c r="E336" s="5" t="s">
        <v>119</v>
      </c>
      <c r="F336" s="5" t="s">
        <v>3</v>
      </c>
      <c r="G336" s="5" t="s">
        <v>99</v>
      </c>
      <c r="H336" s="5" t="s">
        <v>25</v>
      </c>
      <c r="I336" s="5"/>
      <c r="J336" s="5" t="s">
        <v>100</v>
      </c>
      <c r="K336" s="5"/>
      <c r="L336" s="5" t="s">
        <v>101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</row>
    <row r="337" spans="1:32" hidden="1" x14ac:dyDescent="0.2">
      <c r="A337">
        <v>15317</v>
      </c>
      <c r="B337">
        <v>1593</v>
      </c>
      <c r="C337">
        <v>1</v>
      </c>
      <c r="D337">
        <v>19</v>
      </c>
      <c r="E337" s="5" t="s">
        <v>119</v>
      </c>
      <c r="F337" s="5" t="s">
        <v>102</v>
      </c>
      <c r="G337" s="5" t="s">
        <v>99</v>
      </c>
      <c r="H337" s="5" t="s">
        <v>25</v>
      </c>
      <c r="I337" s="5"/>
      <c r="J337" s="5" t="s">
        <v>103</v>
      </c>
      <c r="K337" s="5"/>
      <c r="L337" s="5" t="s">
        <v>101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</row>
    <row r="338" spans="1:32" hidden="1" x14ac:dyDescent="0.2">
      <c r="A338">
        <v>15317</v>
      </c>
      <c r="B338">
        <v>2148</v>
      </c>
      <c r="C338">
        <v>1</v>
      </c>
      <c r="D338">
        <v>16</v>
      </c>
      <c r="E338" s="5" t="s">
        <v>119</v>
      </c>
      <c r="F338" s="5" t="s">
        <v>3</v>
      </c>
      <c r="G338" s="5" t="s">
        <v>99</v>
      </c>
      <c r="H338" s="5" t="s">
        <v>27</v>
      </c>
      <c r="I338" s="5"/>
      <c r="J338" s="5" t="s">
        <v>100</v>
      </c>
      <c r="K338" s="5"/>
      <c r="L338" s="5" t="s">
        <v>101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</row>
    <row r="339" spans="1:32" hidden="1" x14ac:dyDescent="0.2">
      <c r="A339">
        <v>15317</v>
      </c>
      <c r="B339">
        <v>1593</v>
      </c>
      <c r="C339">
        <v>1</v>
      </c>
      <c r="D339">
        <v>16</v>
      </c>
      <c r="E339" s="5" t="s">
        <v>119</v>
      </c>
      <c r="F339" s="5" t="s">
        <v>102</v>
      </c>
      <c r="G339" s="5" t="s">
        <v>99</v>
      </c>
      <c r="H339" s="5" t="s">
        <v>27</v>
      </c>
      <c r="I339" s="5"/>
      <c r="J339" s="5" t="s">
        <v>103</v>
      </c>
      <c r="K339" s="5"/>
      <c r="L339" s="5" t="s">
        <v>101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</row>
    <row r="340" spans="1:32" hidden="1" x14ac:dyDescent="0.2">
      <c r="A340">
        <v>15317</v>
      </c>
      <c r="B340">
        <v>2148</v>
      </c>
      <c r="C340">
        <v>1</v>
      </c>
      <c r="D340">
        <v>11</v>
      </c>
      <c r="E340" s="5" t="s">
        <v>119</v>
      </c>
      <c r="F340" s="5" t="s">
        <v>3</v>
      </c>
      <c r="G340" s="5" t="s">
        <v>99</v>
      </c>
      <c r="H340" s="5" t="s">
        <v>28</v>
      </c>
      <c r="I340" s="5"/>
      <c r="J340" s="5" t="s">
        <v>100</v>
      </c>
      <c r="K340" s="5"/>
      <c r="L340" s="5" t="s">
        <v>101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</row>
    <row r="341" spans="1:32" hidden="1" x14ac:dyDescent="0.2">
      <c r="A341">
        <v>15317</v>
      </c>
      <c r="B341">
        <v>1593</v>
      </c>
      <c r="C341">
        <v>1</v>
      </c>
      <c r="D341">
        <v>11</v>
      </c>
      <c r="E341" s="5" t="s">
        <v>119</v>
      </c>
      <c r="F341" s="5" t="s">
        <v>102</v>
      </c>
      <c r="G341" s="5" t="s">
        <v>99</v>
      </c>
      <c r="H341" s="5" t="s">
        <v>28</v>
      </c>
      <c r="I341" s="5"/>
      <c r="J341" s="5" t="s">
        <v>103</v>
      </c>
      <c r="K341" s="5"/>
      <c r="L341" s="5" t="s">
        <v>101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</row>
    <row r="342" spans="1:32" hidden="1" x14ac:dyDescent="0.2">
      <c r="A342">
        <v>15317</v>
      </c>
      <c r="B342">
        <v>2148</v>
      </c>
      <c r="C342">
        <v>1</v>
      </c>
      <c r="D342">
        <v>14</v>
      </c>
      <c r="E342" s="5" t="s">
        <v>119</v>
      </c>
      <c r="F342" s="5" t="s">
        <v>3</v>
      </c>
      <c r="G342" s="5" t="s">
        <v>99</v>
      </c>
      <c r="H342" s="5" t="s">
        <v>1</v>
      </c>
      <c r="I342" s="5"/>
      <c r="J342" s="5" t="s">
        <v>100</v>
      </c>
      <c r="K342" s="5"/>
      <c r="L342" s="5" t="s">
        <v>101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</row>
    <row r="343" spans="1:32" hidden="1" x14ac:dyDescent="0.2">
      <c r="A343">
        <v>15317</v>
      </c>
      <c r="B343">
        <v>1593</v>
      </c>
      <c r="C343">
        <v>1</v>
      </c>
      <c r="D343">
        <v>14</v>
      </c>
      <c r="E343" s="5" t="s">
        <v>119</v>
      </c>
      <c r="F343" s="5" t="s">
        <v>102</v>
      </c>
      <c r="G343" s="5" t="s">
        <v>99</v>
      </c>
      <c r="H343" s="5" t="s">
        <v>1</v>
      </c>
      <c r="I343" s="5"/>
      <c r="J343" s="5" t="s">
        <v>103</v>
      </c>
      <c r="K343" s="5"/>
      <c r="L343" s="5" t="s">
        <v>101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</row>
    <row r="344" spans="1:32" hidden="1" x14ac:dyDescent="0.2">
      <c r="A344">
        <v>2724</v>
      </c>
      <c r="B344">
        <v>2148</v>
      </c>
      <c r="C344">
        <v>1</v>
      </c>
      <c r="D344">
        <v>15</v>
      </c>
      <c r="E344" s="5" t="s">
        <v>120</v>
      </c>
      <c r="F344" s="5" t="s">
        <v>3</v>
      </c>
      <c r="G344" s="5" t="s">
        <v>99</v>
      </c>
      <c r="H344" s="5" t="s">
        <v>15</v>
      </c>
      <c r="I344" s="5"/>
      <c r="J344" s="5" t="s">
        <v>100</v>
      </c>
      <c r="K344" s="5"/>
      <c r="L344" s="5" t="s">
        <v>101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</row>
    <row r="345" spans="1:32" hidden="1" x14ac:dyDescent="0.2">
      <c r="A345">
        <v>2724</v>
      </c>
      <c r="B345">
        <v>1593</v>
      </c>
      <c r="C345">
        <v>1</v>
      </c>
      <c r="D345">
        <v>15</v>
      </c>
      <c r="E345" s="5" t="s">
        <v>120</v>
      </c>
      <c r="F345" s="5" t="s">
        <v>102</v>
      </c>
      <c r="G345" s="5" t="s">
        <v>99</v>
      </c>
      <c r="H345" s="5" t="s">
        <v>15</v>
      </c>
      <c r="I345" s="5"/>
      <c r="J345" s="5" t="s">
        <v>103</v>
      </c>
      <c r="K345" s="5"/>
      <c r="L345" s="5" t="s">
        <v>101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</row>
    <row r="346" spans="1:32" hidden="1" x14ac:dyDescent="0.2">
      <c r="A346">
        <v>2724</v>
      </c>
      <c r="B346">
        <v>2148</v>
      </c>
      <c r="C346">
        <v>1</v>
      </c>
      <c r="D346">
        <v>6</v>
      </c>
      <c r="E346" s="5" t="s">
        <v>120</v>
      </c>
      <c r="F346" s="5" t="s">
        <v>3</v>
      </c>
      <c r="G346" s="5" t="s">
        <v>99</v>
      </c>
      <c r="H346" s="5" t="s">
        <v>17</v>
      </c>
      <c r="I346" s="5"/>
      <c r="J346" s="5" t="s">
        <v>100</v>
      </c>
      <c r="K346" s="5"/>
      <c r="L346" s="5" t="s">
        <v>101</v>
      </c>
      <c r="M346" s="5">
        <v>43.54</v>
      </c>
      <c r="N346" s="5">
        <v>50.61</v>
      </c>
      <c r="O346" s="5">
        <v>49.71</v>
      </c>
      <c r="P346" s="5">
        <v>46.28</v>
      </c>
      <c r="Q346" s="5">
        <v>47.43</v>
      </c>
      <c r="R346" s="5">
        <v>31.73</v>
      </c>
      <c r="S346" s="5">
        <v>51.52</v>
      </c>
      <c r="T346" s="5">
        <v>517.37</v>
      </c>
      <c r="U346" s="5">
        <v>1015.54</v>
      </c>
      <c r="V346" s="5">
        <v>1851.6</v>
      </c>
      <c r="W346" s="5">
        <v>1988.38</v>
      </c>
      <c r="X346" s="5">
        <v>2619.11</v>
      </c>
      <c r="Y346" s="5">
        <v>2711.14</v>
      </c>
      <c r="Z346" s="5">
        <v>4832</v>
      </c>
      <c r="AA346" s="5">
        <v>4106</v>
      </c>
      <c r="AB346" s="5">
        <v>3937</v>
      </c>
      <c r="AC346" s="5">
        <v>5043.9399999999996</v>
      </c>
      <c r="AD346" s="5">
        <v>5557.55</v>
      </c>
      <c r="AE346" s="5">
        <v>7333.4</v>
      </c>
      <c r="AF346" s="5">
        <v>7312.2</v>
      </c>
    </row>
    <row r="347" spans="1:32" hidden="1" x14ac:dyDescent="0.2">
      <c r="A347">
        <v>2724</v>
      </c>
      <c r="B347">
        <v>1593</v>
      </c>
      <c r="C347">
        <v>1</v>
      </c>
      <c r="D347">
        <v>6</v>
      </c>
      <c r="E347" s="5" t="s">
        <v>120</v>
      </c>
      <c r="F347" s="5" t="s">
        <v>102</v>
      </c>
      <c r="G347" s="5" t="s">
        <v>99</v>
      </c>
      <c r="H347" s="5" t="s">
        <v>17</v>
      </c>
      <c r="I347" s="5"/>
      <c r="J347" s="5" t="s">
        <v>103</v>
      </c>
      <c r="K347" s="5"/>
      <c r="L347" s="5" t="s">
        <v>101</v>
      </c>
      <c r="M347" s="5">
        <v>12.96</v>
      </c>
      <c r="N347" s="5">
        <v>12.96</v>
      </c>
      <c r="O347" s="5">
        <v>12.96</v>
      </c>
      <c r="P347" s="5">
        <v>13.39</v>
      </c>
      <c r="Q347" s="5">
        <v>13.35</v>
      </c>
      <c r="R347" s="5">
        <v>13.33</v>
      </c>
      <c r="S347" s="5">
        <v>207.06</v>
      </c>
      <c r="T347" s="5">
        <v>225.43</v>
      </c>
      <c r="U347" s="5">
        <v>682.1</v>
      </c>
      <c r="V347" s="5">
        <v>682.1</v>
      </c>
      <c r="W347" s="5">
        <v>927</v>
      </c>
      <c r="X347" s="5">
        <v>929.7</v>
      </c>
      <c r="Y347" s="5">
        <v>979.7</v>
      </c>
      <c r="Z347" s="5">
        <v>1330</v>
      </c>
      <c r="AA347" s="5">
        <v>1330</v>
      </c>
      <c r="AB347" s="5">
        <v>1330</v>
      </c>
      <c r="AC347" s="5">
        <v>1329.7</v>
      </c>
      <c r="AD347" s="5">
        <v>1331.7</v>
      </c>
      <c r="AE347" s="5">
        <v>1791</v>
      </c>
      <c r="AF347" s="5">
        <v>1796</v>
      </c>
    </row>
    <row r="348" spans="1:32" hidden="1" x14ac:dyDescent="0.2">
      <c r="A348">
        <v>2724</v>
      </c>
      <c r="B348">
        <v>2148</v>
      </c>
      <c r="C348">
        <v>1</v>
      </c>
      <c r="D348">
        <v>1</v>
      </c>
      <c r="E348" s="5" t="s">
        <v>120</v>
      </c>
      <c r="F348" s="5" t="s">
        <v>3</v>
      </c>
      <c r="G348" s="5" t="s">
        <v>99</v>
      </c>
      <c r="H348" s="5" t="s">
        <v>19</v>
      </c>
      <c r="I348" s="5"/>
      <c r="J348" s="5" t="s">
        <v>100</v>
      </c>
      <c r="K348" s="5"/>
      <c r="L348" s="5" t="s">
        <v>101</v>
      </c>
      <c r="M348" s="5">
        <v>10725</v>
      </c>
      <c r="N348" s="5">
        <v>9623</v>
      </c>
      <c r="O348" s="5">
        <v>11286</v>
      </c>
      <c r="P348" s="5">
        <v>11528</v>
      </c>
      <c r="Q348" s="5">
        <v>11384</v>
      </c>
      <c r="R348" s="5">
        <v>17456</v>
      </c>
      <c r="S348" s="5">
        <v>12419</v>
      </c>
      <c r="T348" s="5">
        <v>12799</v>
      </c>
      <c r="U348" s="5">
        <v>16923</v>
      </c>
      <c r="V348" s="5">
        <v>15161</v>
      </c>
      <c r="W348" s="5">
        <v>13741</v>
      </c>
      <c r="X348" s="5">
        <v>18677</v>
      </c>
      <c r="Y348" s="5">
        <v>18632</v>
      </c>
      <c r="Z348" s="5">
        <v>21613</v>
      </c>
      <c r="AA348" s="5">
        <v>21125</v>
      </c>
      <c r="AB348" s="5">
        <v>24289</v>
      </c>
      <c r="AC348" s="5">
        <v>24578</v>
      </c>
      <c r="AD348" s="5">
        <v>27161</v>
      </c>
      <c r="AE348" s="5">
        <v>24590</v>
      </c>
      <c r="AF348" s="5">
        <v>27138</v>
      </c>
    </row>
    <row r="349" spans="1:32" x14ac:dyDescent="0.2">
      <c r="A349">
        <v>2724</v>
      </c>
      <c r="B349">
        <v>1593</v>
      </c>
      <c r="C349">
        <v>1</v>
      </c>
      <c r="D349">
        <v>1</v>
      </c>
      <c r="E349" s="5" t="s">
        <v>120</v>
      </c>
      <c r="F349" s="5" t="s">
        <v>102</v>
      </c>
      <c r="G349" s="5" t="s">
        <v>99</v>
      </c>
      <c r="H349" s="5" t="s">
        <v>19</v>
      </c>
      <c r="I349" s="5"/>
      <c r="J349" s="5" t="s">
        <v>103</v>
      </c>
      <c r="K349" s="5"/>
      <c r="L349" s="5" t="s">
        <v>101</v>
      </c>
      <c r="M349" s="5">
        <v>3410.94</v>
      </c>
      <c r="N349" s="5">
        <v>3719.19</v>
      </c>
      <c r="O349" s="5">
        <v>3694.62</v>
      </c>
      <c r="P349" s="5">
        <v>3697.52</v>
      </c>
      <c r="Q349" s="5">
        <v>3701.67</v>
      </c>
      <c r="R349" s="5">
        <v>3733.91</v>
      </c>
      <c r="S349" s="5">
        <v>3944.42</v>
      </c>
      <c r="T349" s="5">
        <v>4146.41</v>
      </c>
      <c r="U349" s="5">
        <v>5165.6099999999997</v>
      </c>
      <c r="V349" s="5">
        <v>5229.3900000000003</v>
      </c>
      <c r="W349" s="5">
        <v>5260.69</v>
      </c>
      <c r="X349" s="5">
        <v>5382.39</v>
      </c>
      <c r="Y349" s="5">
        <v>5450.14</v>
      </c>
      <c r="Z349" s="5">
        <v>5399.59</v>
      </c>
      <c r="AA349" s="5">
        <v>5558.52</v>
      </c>
      <c r="AB349" s="5">
        <v>5638.67</v>
      </c>
      <c r="AC349" s="5">
        <v>5988.67</v>
      </c>
      <c r="AD349" s="5">
        <v>5988.67</v>
      </c>
      <c r="AE349" s="5">
        <v>5610.07</v>
      </c>
      <c r="AF349" s="5">
        <v>6047.16</v>
      </c>
    </row>
    <row r="350" spans="1:32" hidden="1" x14ac:dyDescent="0.2">
      <c r="A350">
        <v>2724</v>
      </c>
      <c r="B350">
        <v>2148</v>
      </c>
      <c r="C350">
        <v>1</v>
      </c>
      <c r="D350">
        <v>13</v>
      </c>
      <c r="E350" s="5" t="s">
        <v>120</v>
      </c>
      <c r="F350" s="5" t="s">
        <v>3</v>
      </c>
      <c r="G350" s="5" t="s">
        <v>99</v>
      </c>
      <c r="H350" s="5" t="s">
        <v>20</v>
      </c>
      <c r="I350" s="5"/>
      <c r="J350" s="5" t="s">
        <v>100</v>
      </c>
      <c r="K350" s="5"/>
      <c r="L350" s="5" t="s">
        <v>101</v>
      </c>
      <c r="M350" s="5">
        <v>3510</v>
      </c>
      <c r="N350" s="5">
        <v>3596</v>
      </c>
      <c r="O350" s="5">
        <v>3374</v>
      </c>
      <c r="P350" s="5">
        <v>3717</v>
      </c>
      <c r="Q350" s="5">
        <v>3384</v>
      </c>
      <c r="R350" s="5">
        <v>8449</v>
      </c>
      <c r="S350" s="5">
        <v>12980</v>
      </c>
      <c r="T350" s="5">
        <v>12760</v>
      </c>
      <c r="U350" s="5">
        <v>15507</v>
      </c>
      <c r="V350" s="5">
        <v>15633</v>
      </c>
      <c r="W350" s="5">
        <v>14252</v>
      </c>
      <c r="X350" s="5">
        <v>17349</v>
      </c>
      <c r="Y350" s="5">
        <v>20361</v>
      </c>
      <c r="Z350" s="5">
        <v>22999</v>
      </c>
      <c r="AA350" s="5">
        <v>20140</v>
      </c>
      <c r="AB350" s="5">
        <v>29090</v>
      </c>
      <c r="AC350" s="5">
        <v>32917</v>
      </c>
      <c r="AD350" s="5">
        <v>38736</v>
      </c>
      <c r="AE350" s="5">
        <v>37249</v>
      </c>
      <c r="AF350" s="5">
        <v>40425</v>
      </c>
    </row>
    <row r="351" spans="1:32" hidden="1" x14ac:dyDescent="0.2">
      <c r="A351">
        <v>2724</v>
      </c>
      <c r="B351">
        <v>1593</v>
      </c>
      <c r="C351">
        <v>1</v>
      </c>
      <c r="D351">
        <v>13</v>
      </c>
      <c r="E351" s="5" t="s">
        <v>120</v>
      </c>
      <c r="F351" s="5" t="s">
        <v>102</v>
      </c>
      <c r="G351" s="5" t="s">
        <v>99</v>
      </c>
      <c r="H351" s="5" t="s">
        <v>20</v>
      </c>
      <c r="I351" s="5"/>
      <c r="J351" s="5" t="s">
        <v>103</v>
      </c>
      <c r="K351" s="5"/>
      <c r="L351" s="5" t="s">
        <v>101</v>
      </c>
      <c r="M351" s="5">
        <v>639.5</v>
      </c>
      <c r="N351" s="5">
        <v>639.5</v>
      </c>
      <c r="O351" s="5">
        <v>639.5</v>
      </c>
      <c r="P351" s="5">
        <v>639.5</v>
      </c>
      <c r="Q351" s="5">
        <v>755.5</v>
      </c>
      <c r="R351" s="5">
        <v>1930.5</v>
      </c>
      <c r="S351" s="5">
        <v>1936.45</v>
      </c>
      <c r="T351" s="5">
        <v>2680.65</v>
      </c>
      <c r="U351" s="5">
        <v>2980.95</v>
      </c>
      <c r="V351" s="5">
        <v>3293.95</v>
      </c>
      <c r="W351" s="5">
        <v>3736.95</v>
      </c>
      <c r="X351" s="5">
        <v>4516</v>
      </c>
      <c r="Y351" s="5">
        <v>5172</v>
      </c>
      <c r="Z351" s="5">
        <v>5472</v>
      </c>
      <c r="AA351" s="5">
        <v>7844</v>
      </c>
      <c r="AB351" s="5">
        <v>8456.14</v>
      </c>
      <c r="AC351" s="5">
        <v>8910.14</v>
      </c>
      <c r="AD351" s="5">
        <v>9040</v>
      </c>
      <c r="AE351" s="5">
        <v>9040</v>
      </c>
      <c r="AF351" s="5">
        <v>9040</v>
      </c>
    </row>
    <row r="352" spans="1:32" hidden="1" x14ac:dyDescent="0.2">
      <c r="A352">
        <v>2724</v>
      </c>
      <c r="B352">
        <v>2148</v>
      </c>
      <c r="C352">
        <v>1</v>
      </c>
      <c r="D352">
        <v>17</v>
      </c>
      <c r="E352" s="5" t="s">
        <v>120</v>
      </c>
      <c r="F352" s="5" t="s">
        <v>3</v>
      </c>
      <c r="G352" s="5" t="s">
        <v>99</v>
      </c>
      <c r="H352" s="5" t="s">
        <v>22</v>
      </c>
      <c r="I352" s="5"/>
      <c r="J352" s="5" t="s">
        <v>100</v>
      </c>
      <c r="K352" s="5"/>
      <c r="L352" s="5" t="s">
        <v>101</v>
      </c>
      <c r="M352" s="5">
        <v>6007</v>
      </c>
      <c r="N352" s="5">
        <v>6323</v>
      </c>
      <c r="O352" s="5">
        <v>5957</v>
      </c>
      <c r="P352" s="5">
        <v>7807</v>
      </c>
      <c r="Q352" s="5">
        <v>6890</v>
      </c>
      <c r="R352" s="5">
        <v>6361</v>
      </c>
      <c r="S352" s="5">
        <v>8056</v>
      </c>
      <c r="T352" s="5">
        <v>9056</v>
      </c>
      <c r="U352" s="5">
        <v>10586</v>
      </c>
      <c r="V352" s="5">
        <v>13388</v>
      </c>
      <c r="W352" s="5">
        <v>13924</v>
      </c>
      <c r="X352" s="5">
        <v>20024</v>
      </c>
      <c r="Y352" s="5">
        <v>26846</v>
      </c>
      <c r="Z352" s="5">
        <v>26325</v>
      </c>
      <c r="AA352" s="5">
        <v>26196</v>
      </c>
      <c r="AB352" s="5">
        <v>27299.33</v>
      </c>
      <c r="AC352" s="5">
        <v>31105.09</v>
      </c>
      <c r="AD352" s="5">
        <v>31934</v>
      </c>
      <c r="AE352" s="5">
        <v>32014</v>
      </c>
      <c r="AF352" s="5">
        <v>33697</v>
      </c>
    </row>
    <row r="353" spans="1:32" hidden="1" x14ac:dyDescent="0.2">
      <c r="A353">
        <v>2724</v>
      </c>
      <c r="B353">
        <v>1593</v>
      </c>
      <c r="C353">
        <v>1</v>
      </c>
      <c r="D353">
        <v>17</v>
      </c>
      <c r="E353" s="5" t="s">
        <v>120</v>
      </c>
      <c r="F353" s="5" t="s">
        <v>102</v>
      </c>
      <c r="G353" s="5" t="s">
        <v>99</v>
      </c>
      <c r="H353" s="5" t="s">
        <v>22</v>
      </c>
      <c r="I353" s="5"/>
      <c r="J353" s="5" t="s">
        <v>103</v>
      </c>
      <c r="K353" s="5"/>
      <c r="L353" s="5" t="s">
        <v>101</v>
      </c>
      <c r="M353" s="5">
        <v>2093</v>
      </c>
      <c r="N353" s="5">
        <v>2123</v>
      </c>
      <c r="O353" s="5">
        <v>2106</v>
      </c>
      <c r="P353" s="5">
        <v>2106</v>
      </c>
      <c r="Q353" s="5">
        <v>2108</v>
      </c>
      <c r="R353" s="5">
        <v>2107</v>
      </c>
      <c r="S353" s="5">
        <v>3015</v>
      </c>
      <c r="T353" s="5">
        <v>3317</v>
      </c>
      <c r="U353" s="5">
        <v>3931</v>
      </c>
      <c r="V353" s="5">
        <v>4773.3999999999996</v>
      </c>
      <c r="W353" s="5">
        <v>5716.1</v>
      </c>
      <c r="X353" s="5">
        <v>6128.1</v>
      </c>
      <c r="Y353" s="5">
        <v>6354.7</v>
      </c>
      <c r="Z353" s="5">
        <v>6167.9</v>
      </c>
      <c r="AA353" s="5">
        <v>6174.45</v>
      </c>
      <c r="AB353" s="5">
        <v>6188.39</v>
      </c>
      <c r="AC353" s="5">
        <v>6080.82</v>
      </c>
      <c r="AD353" s="5">
        <v>6209.28</v>
      </c>
      <c r="AE353" s="5">
        <v>6210</v>
      </c>
      <c r="AF353" s="5">
        <v>6230</v>
      </c>
    </row>
    <row r="354" spans="1:32" hidden="1" x14ac:dyDescent="0.2">
      <c r="A354">
        <v>2724</v>
      </c>
      <c r="B354">
        <v>2148</v>
      </c>
      <c r="C354">
        <v>1</v>
      </c>
      <c r="D354">
        <v>12</v>
      </c>
      <c r="E354" s="5" t="s">
        <v>120</v>
      </c>
      <c r="F354" s="5" t="s">
        <v>3</v>
      </c>
      <c r="G354" s="5" t="s">
        <v>99</v>
      </c>
      <c r="H354" s="5" t="s">
        <v>23</v>
      </c>
      <c r="I354" s="5"/>
      <c r="J354" s="5" t="s">
        <v>100</v>
      </c>
      <c r="K354" s="5"/>
      <c r="L354" s="5" t="s">
        <v>101</v>
      </c>
      <c r="M354" s="5">
        <v>2986.31</v>
      </c>
      <c r="N354" s="5">
        <v>3308.76</v>
      </c>
      <c r="O354" s="5">
        <v>3589.87</v>
      </c>
      <c r="P354" s="5">
        <v>4031.34</v>
      </c>
      <c r="Q354" s="5">
        <v>5212.17</v>
      </c>
      <c r="R354" s="5">
        <v>6148.15</v>
      </c>
      <c r="S354" s="5">
        <v>7496.8</v>
      </c>
      <c r="T354" s="5">
        <v>7697.84</v>
      </c>
      <c r="U354" s="5">
        <v>8713.0300000000007</v>
      </c>
      <c r="V354" s="5">
        <v>8790.99</v>
      </c>
      <c r="W354" s="5">
        <v>9359.7900000000009</v>
      </c>
      <c r="X354" s="5">
        <v>9714.7199999999993</v>
      </c>
      <c r="Y354" s="5">
        <v>11161.26</v>
      </c>
      <c r="Z354" s="5">
        <v>12359.13</v>
      </c>
      <c r="AA354" s="5">
        <v>10032.27</v>
      </c>
      <c r="AB354" s="5">
        <v>8025.07</v>
      </c>
      <c r="AC354" s="5">
        <v>9919.25</v>
      </c>
      <c r="AD354" s="5">
        <v>9021</v>
      </c>
      <c r="AE354" s="5">
        <v>9281.8700000000008</v>
      </c>
      <c r="AF354" s="5">
        <v>8738.69</v>
      </c>
    </row>
    <row r="355" spans="1:32" hidden="1" x14ac:dyDescent="0.2">
      <c r="A355">
        <v>2724</v>
      </c>
      <c r="B355">
        <v>1593</v>
      </c>
      <c r="C355">
        <v>1</v>
      </c>
      <c r="D355">
        <v>12</v>
      </c>
      <c r="E355" s="5" t="s">
        <v>120</v>
      </c>
      <c r="F355" s="5" t="s">
        <v>102</v>
      </c>
      <c r="G355" s="5" t="s">
        <v>99</v>
      </c>
      <c r="H355" s="5" t="s">
        <v>23</v>
      </c>
      <c r="I355" s="5"/>
      <c r="J355" s="5" t="s">
        <v>103</v>
      </c>
      <c r="K355" s="5"/>
      <c r="L355" s="5" t="s">
        <v>101</v>
      </c>
      <c r="M355" s="5">
        <v>746</v>
      </c>
      <c r="N355" s="5">
        <v>771</v>
      </c>
      <c r="O355" s="5">
        <v>803</v>
      </c>
      <c r="P355" s="5">
        <v>947</v>
      </c>
      <c r="Q355" s="5">
        <v>1654</v>
      </c>
      <c r="R355" s="5">
        <v>2559.34</v>
      </c>
      <c r="S355" s="5">
        <v>2693.34</v>
      </c>
      <c r="T355" s="5">
        <v>2813.33</v>
      </c>
      <c r="U355" s="5">
        <v>3004</v>
      </c>
      <c r="V355" s="5">
        <v>3185.17</v>
      </c>
      <c r="W355" s="5">
        <v>3215.17</v>
      </c>
      <c r="X355" s="5">
        <v>3255.17</v>
      </c>
      <c r="Y355" s="5">
        <v>3255.17</v>
      </c>
      <c r="Z355" s="5">
        <v>3304</v>
      </c>
      <c r="AA355" s="5">
        <v>3304</v>
      </c>
      <c r="AB355" s="5">
        <v>3225</v>
      </c>
      <c r="AC355" s="5">
        <v>3225</v>
      </c>
      <c r="AD355" s="5">
        <v>3225</v>
      </c>
      <c r="AE355" s="5">
        <v>3270</v>
      </c>
      <c r="AF355" s="5">
        <v>3270</v>
      </c>
    </row>
    <row r="356" spans="1:32" hidden="1" x14ac:dyDescent="0.2">
      <c r="A356">
        <v>2724</v>
      </c>
      <c r="B356">
        <v>2148</v>
      </c>
      <c r="C356">
        <v>1</v>
      </c>
      <c r="D356">
        <v>19</v>
      </c>
      <c r="E356" s="5" t="s">
        <v>120</v>
      </c>
      <c r="F356" s="5" t="s">
        <v>3</v>
      </c>
      <c r="G356" s="5" t="s">
        <v>99</v>
      </c>
      <c r="H356" s="5" t="s">
        <v>25</v>
      </c>
      <c r="I356" s="5"/>
      <c r="J356" s="5" t="s">
        <v>100</v>
      </c>
      <c r="K356" s="5"/>
      <c r="L356" s="5" t="s">
        <v>101</v>
      </c>
      <c r="M356" s="5">
        <v>8386.77</v>
      </c>
      <c r="N356" s="5">
        <v>9939.41</v>
      </c>
      <c r="O356" s="5">
        <v>8563.43</v>
      </c>
      <c r="P356" s="5">
        <v>9842.5300000000007</v>
      </c>
      <c r="Q356" s="5">
        <v>9787.57</v>
      </c>
      <c r="R356" s="5">
        <v>7803.41</v>
      </c>
      <c r="S356" s="5">
        <v>9697.5300000000007</v>
      </c>
      <c r="T356" s="5">
        <v>10252.129999999999</v>
      </c>
      <c r="U356" s="5">
        <v>10019.31</v>
      </c>
      <c r="V356" s="5">
        <v>9137.27</v>
      </c>
      <c r="W356" s="5">
        <v>8665.08</v>
      </c>
      <c r="X356" s="5">
        <v>8110.92</v>
      </c>
      <c r="Y356" s="5">
        <v>9610.7999999999993</v>
      </c>
      <c r="Z356" s="5">
        <v>9383.76</v>
      </c>
      <c r="AA356" s="5">
        <v>8025.49</v>
      </c>
      <c r="AB356" s="5">
        <v>7192.02</v>
      </c>
      <c r="AC356" s="5">
        <v>9185.32</v>
      </c>
      <c r="AD356" s="5">
        <v>10084.59</v>
      </c>
      <c r="AE356" s="5">
        <v>10287.16</v>
      </c>
      <c r="AF356" s="5">
        <v>10908.6</v>
      </c>
    </row>
    <row r="357" spans="1:32" hidden="1" x14ac:dyDescent="0.2">
      <c r="A357">
        <v>2724</v>
      </c>
      <c r="B357">
        <v>1593</v>
      </c>
      <c r="C357">
        <v>1</v>
      </c>
      <c r="D357">
        <v>19</v>
      </c>
      <c r="E357" s="5" t="s">
        <v>120</v>
      </c>
      <c r="F357" s="5" t="s">
        <v>102</v>
      </c>
      <c r="G357" s="5" t="s">
        <v>99</v>
      </c>
      <c r="H357" s="5" t="s">
        <v>25</v>
      </c>
      <c r="I357" s="5"/>
      <c r="J357" s="5" t="s">
        <v>103</v>
      </c>
      <c r="K357" s="5"/>
      <c r="L357" s="5" t="s">
        <v>101</v>
      </c>
      <c r="M357" s="5">
        <v>3222.12</v>
      </c>
      <c r="N357" s="5">
        <v>3256.72</v>
      </c>
      <c r="O357" s="5">
        <v>3292.93</v>
      </c>
      <c r="P357" s="5">
        <v>3291.47</v>
      </c>
      <c r="Q357" s="5">
        <v>3291.35</v>
      </c>
      <c r="R357" s="5">
        <v>3399.55</v>
      </c>
      <c r="S357" s="5">
        <v>3490.73</v>
      </c>
      <c r="T357" s="5">
        <v>3520.81</v>
      </c>
      <c r="U357" s="5">
        <v>3520.81</v>
      </c>
      <c r="V357" s="5">
        <v>3543.26</v>
      </c>
      <c r="W357" s="5">
        <v>3600.46</v>
      </c>
      <c r="X357" s="5">
        <v>3617.54</v>
      </c>
      <c r="Y357" s="5">
        <v>3627.25</v>
      </c>
      <c r="Z357" s="5">
        <v>3701.07</v>
      </c>
      <c r="AA357" s="5">
        <v>3759.82</v>
      </c>
      <c r="AB357" s="5">
        <v>3779.31</v>
      </c>
      <c r="AC357" s="5">
        <v>3780.79</v>
      </c>
      <c r="AD357" s="5">
        <v>3775</v>
      </c>
      <c r="AE357" s="5">
        <v>3799</v>
      </c>
      <c r="AF357" s="5">
        <v>3836</v>
      </c>
    </row>
    <row r="358" spans="1:32" hidden="1" x14ac:dyDescent="0.2">
      <c r="A358">
        <v>2724</v>
      </c>
      <c r="B358">
        <v>2148</v>
      </c>
      <c r="C358">
        <v>1</v>
      </c>
      <c r="D358">
        <v>16</v>
      </c>
      <c r="E358" s="5" t="s">
        <v>120</v>
      </c>
      <c r="F358" s="5" t="s">
        <v>3</v>
      </c>
      <c r="G358" s="5" t="s">
        <v>99</v>
      </c>
      <c r="H358" s="5" t="s">
        <v>27</v>
      </c>
      <c r="I358" s="5"/>
      <c r="J358" s="5" t="s">
        <v>100</v>
      </c>
      <c r="K358" s="5"/>
      <c r="L358" s="5" t="s">
        <v>101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</row>
    <row r="359" spans="1:32" hidden="1" x14ac:dyDescent="0.2">
      <c r="A359">
        <v>2724</v>
      </c>
      <c r="B359">
        <v>1593</v>
      </c>
      <c r="C359">
        <v>1</v>
      </c>
      <c r="D359">
        <v>16</v>
      </c>
      <c r="E359" s="5" t="s">
        <v>120</v>
      </c>
      <c r="F359" s="5" t="s">
        <v>102</v>
      </c>
      <c r="G359" s="5" t="s">
        <v>99</v>
      </c>
      <c r="H359" s="5" t="s">
        <v>27</v>
      </c>
      <c r="I359" s="5"/>
      <c r="J359" s="5" t="s">
        <v>103</v>
      </c>
      <c r="K359" s="5"/>
      <c r="L359" s="5" t="s">
        <v>101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</row>
    <row r="360" spans="1:32" hidden="1" x14ac:dyDescent="0.2">
      <c r="A360">
        <v>2724</v>
      </c>
      <c r="B360">
        <v>2148</v>
      </c>
      <c r="C360">
        <v>1</v>
      </c>
      <c r="D360">
        <v>11</v>
      </c>
      <c r="E360" s="5" t="s">
        <v>120</v>
      </c>
      <c r="F360" s="5" t="s">
        <v>3</v>
      </c>
      <c r="G360" s="5" t="s">
        <v>99</v>
      </c>
      <c r="H360" s="5" t="s">
        <v>28</v>
      </c>
      <c r="I360" s="5"/>
      <c r="J360" s="5" t="s">
        <v>100</v>
      </c>
      <c r="K360" s="5"/>
      <c r="L360" s="5" t="s">
        <v>101</v>
      </c>
      <c r="M360" s="5">
        <v>5798.7</v>
      </c>
      <c r="N360" s="5">
        <v>8125</v>
      </c>
      <c r="O360" s="5">
        <v>8114</v>
      </c>
      <c r="P360" s="5">
        <v>7113</v>
      </c>
      <c r="Q360" s="5">
        <v>7148</v>
      </c>
      <c r="R360" s="5">
        <v>5537</v>
      </c>
      <c r="S360" s="5">
        <v>8164</v>
      </c>
      <c r="T360" s="5">
        <v>8641.2999999999993</v>
      </c>
      <c r="U360" s="5">
        <v>5611</v>
      </c>
      <c r="V360" s="5">
        <v>4362.3</v>
      </c>
      <c r="W360" s="5">
        <v>3867.7</v>
      </c>
      <c r="X360" s="5">
        <v>3651</v>
      </c>
      <c r="Y360" s="5">
        <v>4832.8</v>
      </c>
      <c r="Z360" s="5">
        <v>7597.01</v>
      </c>
      <c r="AA360" s="5">
        <v>6309.96</v>
      </c>
      <c r="AB360" s="5">
        <v>20792.73</v>
      </c>
      <c r="AC360" s="5">
        <v>24084.51</v>
      </c>
      <c r="AD360" s="5">
        <v>27515.97</v>
      </c>
      <c r="AE360" s="5">
        <v>27515.97</v>
      </c>
      <c r="AF360" s="5">
        <v>27515.97</v>
      </c>
    </row>
    <row r="361" spans="1:32" hidden="1" x14ac:dyDescent="0.2">
      <c r="A361">
        <v>2724</v>
      </c>
      <c r="B361">
        <v>1593</v>
      </c>
      <c r="C361">
        <v>1</v>
      </c>
      <c r="D361">
        <v>11</v>
      </c>
      <c r="E361" s="5" t="s">
        <v>120</v>
      </c>
      <c r="F361" s="5" t="s">
        <v>102</v>
      </c>
      <c r="G361" s="5" t="s">
        <v>99</v>
      </c>
      <c r="H361" s="5" t="s">
        <v>28</v>
      </c>
      <c r="I361" s="5"/>
      <c r="J361" s="5" t="s">
        <v>103</v>
      </c>
      <c r="K361" s="5"/>
      <c r="L361" s="5" t="s">
        <v>101</v>
      </c>
      <c r="M361" s="5">
        <v>2976</v>
      </c>
      <c r="N361" s="5">
        <v>2976</v>
      </c>
      <c r="O361" s="5">
        <v>2976</v>
      </c>
      <c r="P361" s="5">
        <v>2981</v>
      </c>
      <c r="Q361" s="5">
        <v>2988</v>
      </c>
      <c r="R361" s="5">
        <v>2988</v>
      </c>
      <c r="S361" s="5">
        <v>3000</v>
      </c>
      <c r="T361" s="5">
        <v>3006.5</v>
      </c>
      <c r="U361" s="5">
        <v>3024</v>
      </c>
      <c r="V361" s="5">
        <v>3025</v>
      </c>
      <c r="W361" s="5">
        <v>3078.52</v>
      </c>
      <c r="X361" s="5">
        <v>3090.52</v>
      </c>
      <c r="Y361" s="5">
        <v>3090.52</v>
      </c>
      <c r="Z361" s="5">
        <v>3591</v>
      </c>
      <c r="AA361" s="5">
        <v>8042</v>
      </c>
      <c r="AB361" s="5">
        <v>7048.61</v>
      </c>
      <c r="AC361" s="5">
        <v>7051.77</v>
      </c>
      <c r="AD361" s="5">
        <v>7580.03</v>
      </c>
      <c r="AE361" s="5">
        <v>7580.03</v>
      </c>
      <c r="AF361" s="5">
        <v>7580.03</v>
      </c>
    </row>
    <row r="362" spans="1:32" hidden="1" x14ac:dyDescent="0.2">
      <c r="A362">
        <v>2724</v>
      </c>
      <c r="B362">
        <v>2148</v>
      </c>
      <c r="C362">
        <v>1</v>
      </c>
      <c r="D362">
        <v>14</v>
      </c>
      <c r="E362" s="5" t="s">
        <v>120</v>
      </c>
      <c r="F362" s="5" t="s">
        <v>3</v>
      </c>
      <c r="G362" s="5" t="s">
        <v>99</v>
      </c>
      <c r="H362" s="5" t="s">
        <v>1</v>
      </c>
      <c r="I362" s="5"/>
      <c r="J362" s="5" t="s">
        <v>100</v>
      </c>
      <c r="K362" s="5"/>
      <c r="L362" s="5" t="s">
        <v>101</v>
      </c>
      <c r="M362" s="5">
        <v>17497</v>
      </c>
      <c r="N362" s="5">
        <v>20408</v>
      </c>
      <c r="O362" s="5">
        <v>22884</v>
      </c>
      <c r="P362" s="5">
        <v>25986</v>
      </c>
      <c r="Q362" s="5">
        <v>29981</v>
      </c>
      <c r="R362" s="5">
        <v>27550</v>
      </c>
      <c r="S362" s="5">
        <v>40924</v>
      </c>
      <c r="T362" s="5">
        <v>52795</v>
      </c>
      <c r="U362" s="5">
        <v>51955</v>
      </c>
      <c r="V362" s="5">
        <v>59841</v>
      </c>
      <c r="W362" s="5">
        <v>56119</v>
      </c>
      <c r="X362" s="5">
        <v>63911</v>
      </c>
      <c r="Y362" s="5">
        <v>86399</v>
      </c>
      <c r="Z362" s="5">
        <v>83081</v>
      </c>
      <c r="AA362" s="5">
        <v>66117</v>
      </c>
      <c r="AB362" s="5">
        <v>72892</v>
      </c>
      <c r="AC362" s="5">
        <v>78392</v>
      </c>
      <c r="AD362" s="5">
        <v>95929</v>
      </c>
      <c r="AE362" s="5">
        <v>80595</v>
      </c>
      <c r="AF362" s="5">
        <v>88723</v>
      </c>
    </row>
    <row r="363" spans="1:32" hidden="1" x14ac:dyDescent="0.2">
      <c r="A363">
        <v>2724</v>
      </c>
      <c r="B363">
        <v>1593</v>
      </c>
      <c r="C363">
        <v>1</v>
      </c>
      <c r="D363">
        <v>14</v>
      </c>
      <c r="E363" s="5" t="s">
        <v>120</v>
      </c>
      <c r="F363" s="5" t="s">
        <v>102</v>
      </c>
      <c r="G363" s="5" t="s">
        <v>99</v>
      </c>
      <c r="H363" s="5" t="s">
        <v>1</v>
      </c>
      <c r="I363" s="5"/>
      <c r="J363" s="5" t="s">
        <v>103</v>
      </c>
      <c r="K363" s="5"/>
      <c r="L363" s="5" t="s">
        <v>101</v>
      </c>
      <c r="M363" s="5">
        <v>4155</v>
      </c>
      <c r="N363" s="5">
        <v>4401.33</v>
      </c>
      <c r="O363" s="5">
        <v>5346</v>
      </c>
      <c r="P363" s="5">
        <v>6290.67</v>
      </c>
      <c r="Q363" s="5">
        <v>7235.33</v>
      </c>
      <c r="R363" s="5">
        <v>8180</v>
      </c>
      <c r="S363" s="5">
        <v>10165</v>
      </c>
      <c r="T363" s="5">
        <v>12643</v>
      </c>
      <c r="U363" s="5">
        <v>14661</v>
      </c>
      <c r="V363" s="5">
        <v>15702.1</v>
      </c>
      <c r="W363" s="5">
        <v>15808</v>
      </c>
      <c r="X363" s="5">
        <v>17713</v>
      </c>
      <c r="Y363" s="5">
        <v>18112</v>
      </c>
      <c r="Z363" s="5">
        <v>20170</v>
      </c>
      <c r="AA363" s="5">
        <v>20250</v>
      </c>
      <c r="AB363" s="5">
        <v>20774</v>
      </c>
      <c r="AC363" s="5">
        <v>22683</v>
      </c>
      <c r="AD363" s="5">
        <v>23571</v>
      </c>
      <c r="AE363" s="5">
        <v>23571</v>
      </c>
      <c r="AF363" s="5">
        <v>23571</v>
      </c>
    </row>
    <row r="364" spans="1:32" hidden="1" x14ac:dyDescent="0.2">
      <c r="A364">
        <v>2824</v>
      </c>
      <c r="B364">
        <v>2148</v>
      </c>
      <c r="C364">
        <v>1</v>
      </c>
      <c r="D364">
        <v>15</v>
      </c>
      <c r="E364" s="5" t="s">
        <v>121</v>
      </c>
      <c r="F364" s="5" t="s">
        <v>3</v>
      </c>
      <c r="G364" s="5" t="s">
        <v>99</v>
      </c>
      <c r="H364" s="5" t="s">
        <v>15</v>
      </c>
      <c r="I364" s="5"/>
      <c r="J364" s="5" t="s">
        <v>100</v>
      </c>
      <c r="K364" s="5"/>
      <c r="L364" s="5" t="s">
        <v>101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</row>
    <row r="365" spans="1:32" hidden="1" x14ac:dyDescent="0.2">
      <c r="A365">
        <v>2824</v>
      </c>
      <c r="B365">
        <v>1593</v>
      </c>
      <c r="C365">
        <v>1</v>
      </c>
      <c r="D365">
        <v>15</v>
      </c>
      <c r="E365" s="5" t="s">
        <v>121</v>
      </c>
      <c r="F365" s="5" t="s">
        <v>102</v>
      </c>
      <c r="G365" s="5" t="s">
        <v>99</v>
      </c>
      <c r="H365" s="5" t="s">
        <v>15</v>
      </c>
      <c r="I365" s="5"/>
      <c r="J365" s="5" t="s">
        <v>103</v>
      </c>
      <c r="K365" s="5"/>
      <c r="L365" s="5" t="s">
        <v>101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</row>
    <row r="366" spans="1:32" hidden="1" x14ac:dyDescent="0.2">
      <c r="A366">
        <v>2824</v>
      </c>
      <c r="B366">
        <v>2148</v>
      </c>
      <c r="C366">
        <v>1</v>
      </c>
      <c r="D366">
        <v>6</v>
      </c>
      <c r="E366" s="5" t="s">
        <v>121</v>
      </c>
      <c r="F366" s="5" t="s">
        <v>3</v>
      </c>
      <c r="G366" s="5" t="s">
        <v>99</v>
      </c>
      <c r="H366" s="5" t="s">
        <v>17</v>
      </c>
      <c r="I366" s="5"/>
      <c r="J366" s="5" t="s">
        <v>100</v>
      </c>
      <c r="K366" s="5"/>
      <c r="L366" s="5" t="s">
        <v>101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</row>
    <row r="367" spans="1:32" hidden="1" x14ac:dyDescent="0.2">
      <c r="A367">
        <v>2824</v>
      </c>
      <c r="B367">
        <v>1593</v>
      </c>
      <c r="C367">
        <v>1</v>
      </c>
      <c r="D367">
        <v>6</v>
      </c>
      <c r="E367" s="5" t="s">
        <v>121</v>
      </c>
      <c r="F367" s="5" t="s">
        <v>102</v>
      </c>
      <c r="G367" s="5" t="s">
        <v>99</v>
      </c>
      <c r="H367" s="5" t="s">
        <v>17</v>
      </c>
      <c r="I367" s="5"/>
      <c r="J367" s="5" t="s">
        <v>103</v>
      </c>
      <c r="K367" s="5"/>
      <c r="L367" s="5" t="s">
        <v>101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</row>
    <row r="368" spans="1:32" hidden="1" x14ac:dyDescent="0.2">
      <c r="A368">
        <v>2824</v>
      </c>
      <c r="B368">
        <v>2148</v>
      </c>
      <c r="C368">
        <v>1</v>
      </c>
      <c r="D368">
        <v>1</v>
      </c>
      <c r="E368" s="5" t="s">
        <v>121</v>
      </c>
      <c r="F368" s="5" t="s">
        <v>3</v>
      </c>
      <c r="G368" s="5" t="s">
        <v>99</v>
      </c>
      <c r="H368" s="5" t="s">
        <v>19</v>
      </c>
      <c r="I368" s="5"/>
      <c r="J368" s="5" t="s">
        <v>100</v>
      </c>
      <c r="K368" s="5"/>
      <c r="L368" s="5" t="s">
        <v>101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24</v>
      </c>
      <c r="AA368" s="5">
        <v>36</v>
      </c>
      <c r="AB368" s="5">
        <v>36</v>
      </c>
      <c r="AC368" s="5">
        <v>119</v>
      </c>
      <c r="AD368" s="5">
        <v>134</v>
      </c>
      <c r="AE368" s="5">
        <v>0</v>
      </c>
      <c r="AF368" s="5">
        <v>152</v>
      </c>
    </row>
    <row r="369" spans="1:32" x14ac:dyDescent="0.2">
      <c r="A369">
        <v>2824</v>
      </c>
      <c r="B369">
        <v>1593</v>
      </c>
      <c r="C369">
        <v>1</v>
      </c>
      <c r="D369">
        <v>1</v>
      </c>
      <c r="E369" s="5" t="s">
        <v>121</v>
      </c>
      <c r="F369" s="5" t="s">
        <v>102</v>
      </c>
      <c r="G369" s="5" t="s">
        <v>99</v>
      </c>
      <c r="H369" s="5" t="s">
        <v>19</v>
      </c>
      <c r="I369" s="5"/>
      <c r="J369" s="5" t="s">
        <v>103</v>
      </c>
      <c r="K369" s="5"/>
      <c r="L369" s="5" t="s">
        <v>101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372.56</v>
      </c>
      <c r="AA369" s="5">
        <v>417.51</v>
      </c>
      <c r="AB369" s="5">
        <v>482.21</v>
      </c>
      <c r="AC369" s="5">
        <v>613.08000000000004</v>
      </c>
      <c r="AD369" s="5">
        <v>700.35</v>
      </c>
      <c r="AE369" s="5">
        <v>959.57</v>
      </c>
      <c r="AF369" s="5">
        <v>1005.31</v>
      </c>
    </row>
    <row r="370" spans="1:32" hidden="1" x14ac:dyDescent="0.2">
      <c r="A370">
        <v>2824</v>
      </c>
      <c r="B370">
        <v>2148</v>
      </c>
      <c r="C370">
        <v>1</v>
      </c>
      <c r="D370">
        <v>13</v>
      </c>
      <c r="E370" s="5" t="s">
        <v>121</v>
      </c>
      <c r="F370" s="5" t="s">
        <v>3</v>
      </c>
      <c r="G370" s="5" t="s">
        <v>99</v>
      </c>
      <c r="H370" s="5" t="s">
        <v>20</v>
      </c>
      <c r="I370" s="5"/>
      <c r="J370" s="5" t="s">
        <v>100</v>
      </c>
      <c r="K370" s="5"/>
      <c r="L370" s="5" t="s">
        <v>101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</row>
    <row r="371" spans="1:32" hidden="1" x14ac:dyDescent="0.2">
      <c r="A371">
        <v>2824</v>
      </c>
      <c r="B371">
        <v>1593</v>
      </c>
      <c r="C371">
        <v>1</v>
      </c>
      <c r="D371">
        <v>13</v>
      </c>
      <c r="E371" s="5" t="s">
        <v>121</v>
      </c>
      <c r="F371" s="5" t="s">
        <v>102</v>
      </c>
      <c r="G371" s="5" t="s">
        <v>99</v>
      </c>
      <c r="H371" s="5" t="s">
        <v>20</v>
      </c>
      <c r="I371" s="5"/>
      <c r="J371" s="5" t="s">
        <v>103</v>
      </c>
      <c r="K371" s="5"/>
      <c r="L371" s="5" t="s">
        <v>101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</row>
    <row r="372" spans="1:32" hidden="1" x14ac:dyDescent="0.2">
      <c r="A372">
        <v>2824</v>
      </c>
      <c r="B372">
        <v>2148</v>
      </c>
      <c r="C372">
        <v>1</v>
      </c>
      <c r="D372">
        <v>17</v>
      </c>
      <c r="E372" s="5" t="s">
        <v>121</v>
      </c>
      <c r="F372" s="5" t="s">
        <v>3</v>
      </c>
      <c r="G372" s="5" t="s">
        <v>99</v>
      </c>
      <c r="H372" s="5" t="s">
        <v>22</v>
      </c>
      <c r="I372" s="5"/>
      <c r="J372" s="5" t="s">
        <v>100</v>
      </c>
      <c r="K372" s="5"/>
      <c r="L372" s="5" t="s">
        <v>101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</row>
    <row r="373" spans="1:32" hidden="1" x14ac:dyDescent="0.2">
      <c r="A373">
        <v>2824</v>
      </c>
      <c r="B373">
        <v>1593</v>
      </c>
      <c r="C373">
        <v>1</v>
      </c>
      <c r="D373">
        <v>17</v>
      </c>
      <c r="E373" s="5" t="s">
        <v>121</v>
      </c>
      <c r="F373" s="5" t="s">
        <v>102</v>
      </c>
      <c r="G373" s="5" t="s">
        <v>99</v>
      </c>
      <c r="H373" s="5" t="s">
        <v>22</v>
      </c>
      <c r="I373" s="5"/>
      <c r="J373" s="5" t="s">
        <v>103</v>
      </c>
      <c r="K373" s="5"/>
      <c r="L373" s="5" t="s">
        <v>101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</row>
    <row r="374" spans="1:32" hidden="1" x14ac:dyDescent="0.2">
      <c r="A374">
        <v>2824</v>
      </c>
      <c r="B374">
        <v>2148</v>
      </c>
      <c r="C374">
        <v>1</v>
      </c>
      <c r="D374">
        <v>12</v>
      </c>
      <c r="E374" s="5" t="s">
        <v>121</v>
      </c>
      <c r="F374" s="5" t="s">
        <v>3</v>
      </c>
      <c r="G374" s="5" t="s">
        <v>99</v>
      </c>
      <c r="H374" s="5" t="s">
        <v>23</v>
      </c>
      <c r="I374" s="5"/>
      <c r="J374" s="5" t="s">
        <v>100</v>
      </c>
      <c r="K374" s="5"/>
      <c r="L374" s="5" t="s">
        <v>101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19.13</v>
      </c>
      <c r="AD374" s="5">
        <v>48.93</v>
      </c>
      <c r="AE374" s="5">
        <v>32.619999999999997</v>
      </c>
      <c r="AF374" s="5">
        <v>16.309999999999999</v>
      </c>
    </row>
    <row r="375" spans="1:32" hidden="1" x14ac:dyDescent="0.2">
      <c r="A375">
        <v>2824</v>
      </c>
      <c r="B375">
        <v>1593</v>
      </c>
      <c r="C375">
        <v>1</v>
      </c>
      <c r="D375">
        <v>12</v>
      </c>
      <c r="E375" s="5" t="s">
        <v>121</v>
      </c>
      <c r="F375" s="5" t="s">
        <v>102</v>
      </c>
      <c r="G375" s="5" t="s">
        <v>99</v>
      </c>
      <c r="H375" s="5" t="s">
        <v>23</v>
      </c>
      <c r="I375" s="5"/>
      <c r="J375" s="5" t="s">
        <v>103</v>
      </c>
      <c r="K375" s="5"/>
      <c r="L375" s="5" t="s">
        <v>101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37.369999999999997</v>
      </c>
      <c r="AC375" s="5">
        <v>37.369999999999997</v>
      </c>
      <c r="AD375" s="5">
        <v>37.369999999999997</v>
      </c>
      <c r="AE375" s="5">
        <v>37.369999999999997</v>
      </c>
      <c r="AF375" s="5">
        <v>37.369999999999997</v>
      </c>
    </row>
    <row r="376" spans="1:32" hidden="1" x14ac:dyDescent="0.2">
      <c r="A376">
        <v>2824</v>
      </c>
      <c r="B376">
        <v>2148</v>
      </c>
      <c r="C376">
        <v>1</v>
      </c>
      <c r="D376">
        <v>19</v>
      </c>
      <c r="E376" s="5" t="s">
        <v>121</v>
      </c>
      <c r="F376" s="5" t="s">
        <v>3</v>
      </c>
      <c r="G376" s="5" t="s">
        <v>99</v>
      </c>
      <c r="H376" s="5" t="s">
        <v>25</v>
      </c>
      <c r="I376" s="5"/>
      <c r="J376" s="5" t="s">
        <v>100</v>
      </c>
      <c r="K376" s="5"/>
      <c r="L376" s="5" t="s">
        <v>101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</row>
    <row r="377" spans="1:32" hidden="1" x14ac:dyDescent="0.2">
      <c r="A377">
        <v>2824</v>
      </c>
      <c r="B377">
        <v>1593</v>
      </c>
      <c r="C377">
        <v>1</v>
      </c>
      <c r="D377">
        <v>19</v>
      </c>
      <c r="E377" s="5" t="s">
        <v>121</v>
      </c>
      <c r="F377" s="5" t="s">
        <v>102</v>
      </c>
      <c r="G377" s="5" t="s">
        <v>99</v>
      </c>
      <c r="H377" s="5" t="s">
        <v>25</v>
      </c>
      <c r="I377" s="5"/>
      <c r="J377" s="5" t="s">
        <v>103</v>
      </c>
      <c r="K377" s="5"/>
      <c r="L377" s="5" t="s">
        <v>101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</row>
    <row r="378" spans="1:32" hidden="1" x14ac:dyDescent="0.2">
      <c r="A378">
        <v>2824</v>
      </c>
      <c r="B378">
        <v>2148</v>
      </c>
      <c r="C378">
        <v>1</v>
      </c>
      <c r="D378">
        <v>16</v>
      </c>
      <c r="E378" s="5" t="s">
        <v>121</v>
      </c>
      <c r="F378" s="5" t="s">
        <v>3</v>
      </c>
      <c r="G378" s="5" t="s">
        <v>99</v>
      </c>
      <c r="H378" s="5" t="s">
        <v>27</v>
      </c>
      <c r="I378" s="5"/>
      <c r="J378" s="5" t="s">
        <v>100</v>
      </c>
      <c r="K378" s="5"/>
      <c r="L378" s="5" t="s">
        <v>101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</row>
    <row r="379" spans="1:32" hidden="1" x14ac:dyDescent="0.2">
      <c r="A379">
        <v>2824</v>
      </c>
      <c r="B379">
        <v>1593</v>
      </c>
      <c r="C379">
        <v>1</v>
      </c>
      <c r="D379">
        <v>16</v>
      </c>
      <c r="E379" s="5" t="s">
        <v>121</v>
      </c>
      <c r="F379" s="5" t="s">
        <v>102</v>
      </c>
      <c r="G379" s="5" t="s">
        <v>99</v>
      </c>
      <c r="H379" s="5" t="s">
        <v>27</v>
      </c>
      <c r="I379" s="5"/>
      <c r="J379" s="5" t="s">
        <v>103</v>
      </c>
      <c r="K379" s="5"/>
      <c r="L379" s="5" t="s">
        <v>101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</row>
    <row r="380" spans="1:32" hidden="1" x14ac:dyDescent="0.2">
      <c r="A380">
        <v>2824</v>
      </c>
      <c r="B380">
        <v>2148</v>
      </c>
      <c r="C380">
        <v>1</v>
      </c>
      <c r="D380">
        <v>11</v>
      </c>
      <c r="E380" s="5" t="s">
        <v>121</v>
      </c>
      <c r="F380" s="5" t="s">
        <v>3</v>
      </c>
      <c r="G380" s="5" t="s">
        <v>99</v>
      </c>
      <c r="H380" s="5" t="s">
        <v>28</v>
      </c>
      <c r="I380" s="5"/>
      <c r="J380" s="5" t="s">
        <v>100</v>
      </c>
      <c r="K380" s="5"/>
      <c r="L380" s="5" t="s">
        <v>101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</row>
    <row r="381" spans="1:32" hidden="1" x14ac:dyDescent="0.2">
      <c r="A381">
        <v>2824</v>
      </c>
      <c r="B381">
        <v>1593</v>
      </c>
      <c r="C381">
        <v>1</v>
      </c>
      <c r="D381">
        <v>11</v>
      </c>
      <c r="E381" s="5" t="s">
        <v>121</v>
      </c>
      <c r="F381" s="5" t="s">
        <v>102</v>
      </c>
      <c r="G381" s="5" t="s">
        <v>99</v>
      </c>
      <c r="H381" s="5" t="s">
        <v>28</v>
      </c>
      <c r="I381" s="5"/>
      <c r="J381" s="5" t="s">
        <v>103</v>
      </c>
      <c r="K381" s="5"/>
      <c r="L381" s="5" t="s">
        <v>101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</row>
    <row r="382" spans="1:32" hidden="1" x14ac:dyDescent="0.2">
      <c r="A382">
        <v>2824</v>
      </c>
      <c r="B382">
        <v>2148</v>
      </c>
      <c r="C382">
        <v>1</v>
      </c>
      <c r="D382">
        <v>14</v>
      </c>
      <c r="E382" s="5" t="s">
        <v>121</v>
      </c>
      <c r="F382" s="5" t="s">
        <v>3</v>
      </c>
      <c r="G382" s="5" t="s">
        <v>99</v>
      </c>
      <c r="H382" s="5" t="s">
        <v>1</v>
      </c>
      <c r="I382" s="5"/>
      <c r="J382" s="5" t="s">
        <v>100</v>
      </c>
      <c r="K382" s="5"/>
      <c r="L382" s="5" t="s">
        <v>101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</row>
    <row r="383" spans="1:32" hidden="1" x14ac:dyDescent="0.2">
      <c r="A383">
        <v>2824</v>
      </c>
      <c r="B383">
        <v>1593</v>
      </c>
      <c r="C383">
        <v>1</v>
      </c>
      <c r="D383">
        <v>14</v>
      </c>
      <c r="E383" s="5" t="s">
        <v>121</v>
      </c>
      <c r="F383" s="5" t="s">
        <v>102</v>
      </c>
      <c r="G383" s="5" t="s">
        <v>99</v>
      </c>
      <c r="H383" s="5" t="s">
        <v>1</v>
      </c>
      <c r="I383" s="5"/>
      <c r="J383" s="5" t="s">
        <v>103</v>
      </c>
      <c r="K383" s="5"/>
      <c r="L383" s="5" t="s">
        <v>101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</row>
    <row r="384" spans="1:32" hidden="1" x14ac:dyDescent="0.2">
      <c r="A384">
        <v>2851</v>
      </c>
      <c r="B384">
        <v>2148</v>
      </c>
      <c r="C384">
        <v>1</v>
      </c>
      <c r="D384">
        <v>15</v>
      </c>
      <c r="E384" s="5" t="s">
        <v>122</v>
      </c>
      <c r="F384" s="5" t="s">
        <v>3</v>
      </c>
      <c r="G384" s="5" t="s">
        <v>99</v>
      </c>
      <c r="H384" s="5" t="s">
        <v>15</v>
      </c>
      <c r="I384" s="5"/>
      <c r="J384" s="5" t="s">
        <v>100</v>
      </c>
      <c r="K384" s="5"/>
      <c r="L384" s="5" t="s">
        <v>101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</row>
    <row r="385" spans="1:32" hidden="1" x14ac:dyDescent="0.2">
      <c r="A385">
        <v>2851</v>
      </c>
      <c r="B385">
        <v>1593</v>
      </c>
      <c r="C385">
        <v>1</v>
      </c>
      <c r="D385">
        <v>15</v>
      </c>
      <c r="E385" s="5" t="s">
        <v>122</v>
      </c>
      <c r="F385" s="5" t="s">
        <v>102</v>
      </c>
      <c r="G385" s="5" t="s">
        <v>99</v>
      </c>
      <c r="H385" s="5" t="s">
        <v>15</v>
      </c>
      <c r="I385" s="5"/>
      <c r="J385" s="5" t="s">
        <v>103</v>
      </c>
      <c r="K385" s="5"/>
      <c r="L385" s="5" t="s">
        <v>101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</row>
    <row r="386" spans="1:32" hidden="1" x14ac:dyDescent="0.2">
      <c r="A386">
        <v>2851</v>
      </c>
      <c r="B386">
        <v>2148</v>
      </c>
      <c r="C386">
        <v>1</v>
      </c>
      <c r="D386">
        <v>6</v>
      </c>
      <c r="E386" s="5" t="s">
        <v>122</v>
      </c>
      <c r="F386" s="5" t="s">
        <v>3</v>
      </c>
      <c r="G386" s="5" t="s">
        <v>99</v>
      </c>
      <c r="H386" s="5" t="s">
        <v>17</v>
      </c>
      <c r="I386" s="5"/>
      <c r="J386" s="5" t="s">
        <v>100</v>
      </c>
      <c r="K386" s="5"/>
      <c r="L386" s="5" t="s">
        <v>101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</row>
    <row r="387" spans="1:32" hidden="1" x14ac:dyDescent="0.2">
      <c r="A387">
        <v>2851</v>
      </c>
      <c r="B387">
        <v>1593</v>
      </c>
      <c r="C387">
        <v>1</v>
      </c>
      <c r="D387">
        <v>6</v>
      </c>
      <c r="E387" s="5" t="s">
        <v>122</v>
      </c>
      <c r="F387" s="5" t="s">
        <v>102</v>
      </c>
      <c r="G387" s="5" t="s">
        <v>99</v>
      </c>
      <c r="H387" s="5" t="s">
        <v>17</v>
      </c>
      <c r="I387" s="5"/>
      <c r="J387" s="5" t="s">
        <v>103</v>
      </c>
      <c r="K387" s="5"/>
      <c r="L387" s="5" t="s">
        <v>101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</row>
    <row r="388" spans="1:32" hidden="1" x14ac:dyDescent="0.2">
      <c r="A388">
        <v>2851</v>
      </c>
      <c r="B388">
        <v>2148</v>
      </c>
      <c r="C388">
        <v>1</v>
      </c>
      <c r="D388">
        <v>1</v>
      </c>
      <c r="E388" s="5" t="s">
        <v>122</v>
      </c>
      <c r="F388" s="5" t="s">
        <v>3</v>
      </c>
      <c r="G388" s="5" t="s">
        <v>99</v>
      </c>
      <c r="H388" s="5" t="s">
        <v>19</v>
      </c>
      <c r="I388" s="5"/>
      <c r="J388" s="5" t="s">
        <v>100</v>
      </c>
      <c r="K388" s="5"/>
      <c r="L388" s="5" t="s">
        <v>101</v>
      </c>
      <c r="M388" s="5">
        <v>6604</v>
      </c>
      <c r="N388" s="5">
        <v>6658</v>
      </c>
      <c r="O388" s="5">
        <v>7021</v>
      </c>
      <c r="P388" s="5">
        <v>8309</v>
      </c>
      <c r="Q388" s="5">
        <v>9295</v>
      </c>
      <c r="R388" s="5">
        <v>9357</v>
      </c>
      <c r="S388" s="5">
        <v>9371</v>
      </c>
      <c r="T388" s="5">
        <v>9416</v>
      </c>
      <c r="U388" s="5">
        <v>9414</v>
      </c>
      <c r="V388" s="5">
        <v>10039</v>
      </c>
      <c r="W388" s="5">
        <v>10047</v>
      </c>
      <c r="X388" s="5">
        <v>10656</v>
      </c>
      <c r="Y388" s="5">
        <v>12764</v>
      </c>
      <c r="Z388" s="5">
        <v>14019</v>
      </c>
      <c r="AA388" s="5">
        <v>14100</v>
      </c>
      <c r="AB388" s="5">
        <v>15563</v>
      </c>
      <c r="AC388" s="5">
        <v>15899</v>
      </c>
      <c r="AD388" s="5">
        <v>16677</v>
      </c>
      <c r="AE388" s="5">
        <v>16936</v>
      </c>
      <c r="AF388" s="5">
        <v>16915</v>
      </c>
    </row>
    <row r="389" spans="1:32" x14ac:dyDescent="0.2">
      <c r="A389">
        <v>2851</v>
      </c>
      <c r="B389">
        <v>1593</v>
      </c>
      <c r="C389">
        <v>1</v>
      </c>
      <c r="D389">
        <v>1</v>
      </c>
      <c r="E389" s="5" t="s">
        <v>122</v>
      </c>
      <c r="F389" s="5" t="s">
        <v>102</v>
      </c>
      <c r="G389" s="5" t="s">
        <v>99</v>
      </c>
      <c r="H389" s="5" t="s">
        <v>19</v>
      </c>
      <c r="I389" s="5"/>
      <c r="J389" s="5" t="s">
        <v>103</v>
      </c>
      <c r="K389" s="5"/>
      <c r="L389" s="5" t="s">
        <v>101</v>
      </c>
      <c r="M389" s="5">
        <v>850</v>
      </c>
      <c r="N389" s="5">
        <v>850</v>
      </c>
      <c r="O389" s="5">
        <v>980</v>
      </c>
      <c r="P389" s="5">
        <v>1052</v>
      </c>
      <c r="Q389" s="5">
        <v>1189</v>
      </c>
      <c r="R389" s="5">
        <v>1189</v>
      </c>
      <c r="S389" s="5">
        <v>1226</v>
      </c>
      <c r="T389" s="5">
        <v>1336</v>
      </c>
      <c r="U389" s="5">
        <v>1343.5</v>
      </c>
      <c r="V389" s="5">
        <v>1403.5</v>
      </c>
      <c r="W389" s="5">
        <v>1438.5</v>
      </c>
      <c r="X389" s="5">
        <v>1643.5</v>
      </c>
      <c r="Y389" s="5">
        <v>1808.3</v>
      </c>
      <c r="Z389" s="5">
        <v>1948.3</v>
      </c>
      <c r="AA389" s="5">
        <v>2130.6999999999998</v>
      </c>
      <c r="AB389" s="5">
        <v>2130.6999999999998</v>
      </c>
      <c r="AC389" s="5">
        <v>2286.0500000000002</v>
      </c>
      <c r="AD389" s="5">
        <v>2360.33</v>
      </c>
      <c r="AE389" s="5">
        <v>2597.5100000000002</v>
      </c>
      <c r="AF389" s="5">
        <v>2638.76</v>
      </c>
    </row>
    <row r="390" spans="1:32" hidden="1" x14ac:dyDescent="0.2">
      <c r="A390">
        <v>2851</v>
      </c>
      <c r="B390">
        <v>2148</v>
      </c>
      <c r="C390">
        <v>1</v>
      </c>
      <c r="D390">
        <v>13</v>
      </c>
      <c r="E390" s="5" t="s">
        <v>122</v>
      </c>
      <c r="F390" s="5" t="s">
        <v>3</v>
      </c>
      <c r="G390" s="5" t="s">
        <v>99</v>
      </c>
      <c r="H390" s="5" t="s">
        <v>20</v>
      </c>
      <c r="I390" s="5"/>
      <c r="J390" s="5" t="s">
        <v>100</v>
      </c>
      <c r="K390" s="5"/>
      <c r="L390" s="5" t="s">
        <v>101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</row>
    <row r="391" spans="1:32" hidden="1" x14ac:dyDescent="0.2">
      <c r="A391">
        <v>2851</v>
      </c>
      <c r="B391">
        <v>1593</v>
      </c>
      <c r="C391">
        <v>1</v>
      </c>
      <c r="D391">
        <v>13</v>
      </c>
      <c r="E391" s="5" t="s">
        <v>122</v>
      </c>
      <c r="F391" s="5" t="s">
        <v>102</v>
      </c>
      <c r="G391" s="5" t="s">
        <v>99</v>
      </c>
      <c r="H391" s="5" t="s">
        <v>20</v>
      </c>
      <c r="I391" s="5"/>
      <c r="J391" s="5" t="s">
        <v>103</v>
      </c>
      <c r="K391" s="5"/>
      <c r="L391" s="5" t="s">
        <v>101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</row>
    <row r="392" spans="1:32" hidden="1" x14ac:dyDescent="0.2">
      <c r="A392">
        <v>2851</v>
      </c>
      <c r="B392">
        <v>2148</v>
      </c>
      <c r="C392">
        <v>1</v>
      </c>
      <c r="D392">
        <v>17</v>
      </c>
      <c r="E392" s="5" t="s">
        <v>122</v>
      </c>
      <c r="F392" s="5" t="s">
        <v>3</v>
      </c>
      <c r="G392" s="5" t="s">
        <v>99</v>
      </c>
      <c r="H392" s="5" t="s">
        <v>22</v>
      </c>
      <c r="I392" s="5"/>
      <c r="J392" s="5" t="s">
        <v>100</v>
      </c>
      <c r="K392" s="5"/>
      <c r="L392" s="5" t="s">
        <v>101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</row>
    <row r="393" spans="1:32" hidden="1" x14ac:dyDescent="0.2">
      <c r="A393">
        <v>2851</v>
      </c>
      <c r="B393">
        <v>1593</v>
      </c>
      <c r="C393">
        <v>1</v>
      </c>
      <c r="D393">
        <v>17</v>
      </c>
      <c r="E393" s="5" t="s">
        <v>122</v>
      </c>
      <c r="F393" s="5" t="s">
        <v>102</v>
      </c>
      <c r="G393" s="5" t="s">
        <v>99</v>
      </c>
      <c r="H393" s="5" t="s">
        <v>22</v>
      </c>
      <c r="I393" s="5"/>
      <c r="J393" s="5" t="s">
        <v>103</v>
      </c>
      <c r="K393" s="5"/>
      <c r="L393" s="5" t="s">
        <v>101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</row>
    <row r="394" spans="1:32" hidden="1" x14ac:dyDescent="0.2">
      <c r="A394">
        <v>2851</v>
      </c>
      <c r="B394">
        <v>2148</v>
      </c>
      <c r="C394">
        <v>1</v>
      </c>
      <c r="D394">
        <v>12</v>
      </c>
      <c r="E394" s="5" t="s">
        <v>122</v>
      </c>
      <c r="F394" s="5" t="s">
        <v>3</v>
      </c>
      <c r="G394" s="5" t="s">
        <v>99</v>
      </c>
      <c r="H394" s="5" t="s">
        <v>23</v>
      </c>
      <c r="I394" s="5"/>
      <c r="J394" s="5" t="s">
        <v>100</v>
      </c>
      <c r="K394" s="5"/>
      <c r="L394" s="5" t="s">
        <v>101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</row>
    <row r="395" spans="1:32" hidden="1" x14ac:dyDescent="0.2">
      <c r="A395">
        <v>2851</v>
      </c>
      <c r="B395">
        <v>1593</v>
      </c>
      <c r="C395">
        <v>1</v>
      </c>
      <c r="D395">
        <v>12</v>
      </c>
      <c r="E395" s="5" t="s">
        <v>122</v>
      </c>
      <c r="F395" s="5" t="s">
        <v>102</v>
      </c>
      <c r="G395" s="5" t="s">
        <v>99</v>
      </c>
      <c r="H395" s="5" t="s">
        <v>23</v>
      </c>
      <c r="I395" s="5"/>
      <c r="J395" s="5" t="s">
        <v>103</v>
      </c>
      <c r="K395" s="5"/>
      <c r="L395" s="5" t="s">
        <v>101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</row>
    <row r="396" spans="1:32" hidden="1" x14ac:dyDescent="0.2">
      <c r="A396">
        <v>2851</v>
      </c>
      <c r="B396">
        <v>2148</v>
      </c>
      <c r="C396">
        <v>1</v>
      </c>
      <c r="D396">
        <v>19</v>
      </c>
      <c r="E396" s="5" t="s">
        <v>122</v>
      </c>
      <c r="F396" s="5" t="s">
        <v>3</v>
      </c>
      <c r="G396" s="5" t="s">
        <v>99</v>
      </c>
      <c r="H396" s="5" t="s">
        <v>25</v>
      </c>
      <c r="I396" s="5"/>
      <c r="J396" s="5" t="s">
        <v>100</v>
      </c>
      <c r="K396" s="5"/>
      <c r="L396" s="5" t="s">
        <v>101</v>
      </c>
      <c r="M396" s="5">
        <v>9902</v>
      </c>
      <c r="N396" s="5">
        <v>10465</v>
      </c>
      <c r="O396" s="5">
        <v>10215</v>
      </c>
      <c r="P396" s="5">
        <v>10723</v>
      </c>
      <c r="Q396" s="5">
        <v>10324</v>
      </c>
      <c r="R396" s="5">
        <v>9929</v>
      </c>
      <c r="S396" s="5">
        <v>9942</v>
      </c>
      <c r="T396" s="5">
        <v>10250</v>
      </c>
      <c r="U396" s="5">
        <v>9605</v>
      </c>
      <c r="V396" s="5">
        <v>10308</v>
      </c>
      <c r="W396" s="5">
        <v>11044</v>
      </c>
      <c r="X396" s="5">
        <v>11070</v>
      </c>
      <c r="Y396" s="5">
        <v>10270</v>
      </c>
      <c r="Z396" s="5">
        <v>10435.299999999999</v>
      </c>
      <c r="AA396" s="5">
        <v>10690.8</v>
      </c>
      <c r="AB396" s="5">
        <v>10756.82</v>
      </c>
      <c r="AC396" s="5">
        <v>10681.42</v>
      </c>
      <c r="AD396" s="5">
        <v>10424.52</v>
      </c>
      <c r="AE396" s="5">
        <v>10730.18</v>
      </c>
      <c r="AF396" s="5">
        <v>10789.22</v>
      </c>
    </row>
    <row r="397" spans="1:32" hidden="1" x14ac:dyDescent="0.2">
      <c r="A397">
        <v>2851</v>
      </c>
      <c r="B397">
        <v>1593</v>
      </c>
      <c r="C397">
        <v>1</v>
      </c>
      <c r="D397">
        <v>19</v>
      </c>
      <c r="E397" s="5" t="s">
        <v>122</v>
      </c>
      <c r="F397" s="5" t="s">
        <v>102</v>
      </c>
      <c r="G397" s="5" t="s">
        <v>99</v>
      </c>
      <c r="H397" s="5" t="s">
        <v>25</v>
      </c>
      <c r="I397" s="5"/>
      <c r="J397" s="5" t="s">
        <v>103</v>
      </c>
      <c r="K397" s="5"/>
      <c r="L397" s="5" t="s">
        <v>101</v>
      </c>
      <c r="M397" s="5">
        <v>1978.31</v>
      </c>
      <c r="N397" s="5">
        <v>1978.31</v>
      </c>
      <c r="O397" s="5">
        <v>1958.38</v>
      </c>
      <c r="P397" s="5">
        <v>1958.38</v>
      </c>
      <c r="Q397" s="5">
        <v>1953.24</v>
      </c>
      <c r="R397" s="5">
        <v>1965.83</v>
      </c>
      <c r="S397" s="5">
        <v>1783.25</v>
      </c>
      <c r="T397" s="5">
        <v>1847.69</v>
      </c>
      <c r="U397" s="5">
        <v>1867.69</v>
      </c>
      <c r="V397" s="5">
        <v>1917.69</v>
      </c>
      <c r="W397" s="5">
        <v>1917.19</v>
      </c>
      <c r="X397" s="5">
        <v>1915.56</v>
      </c>
      <c r="Y397" s="5">
        <v>1915.83</v>
      </c>
      <c r="Z397" s="5">
        <v>1943.96</v>
      </c>
      <c r="AA397" s="5">
        <v>1928.07</v>
      </c>
      <c r="AB397" s="5">
        <v>1928.07</v>
      </c>
      <c r="AC397" s="5">
        <v>1928.07</v>
      </c>
      <c r="AD397" s="5">
        <v>1952</v>
      </c>
      <c r="AE397" s="5">
        <v>1952</v>
      </c>
      <c r="AF397" s="5">
        <v>1952</v>
      </c>
    </row>
    <row r="398" spans="1:32" hidden="1" x14ac:dyDescent="0.2">
      <c r="A398">
        <v>2851</v>
      </c>
      <c r="B398">
        <v>2148</v>
      </c>
      <c r="C398">
        <v>1</v>
      </c>
      <c r="D398">
        <v>16</v>
      </c>
      <c r="E398" s="5" t="s">
        <v>122</v>
      </c>
      <c r="F398" s="5" t="s">
        <v>3</v>
      </c>
      <c r="G398" s="5" t="s">
        <v>99</v>
      </c>
      <c r="H398" s="5" t="s">
        <v>27</v>
      </c>
      <c r="I398" s="5"/>
      <c r="J398" s="5" t="s">
        <v>100</v>
      </c>
      <c r="K398" s="5"/>
      <c r="L398" s="5" t="s">
        <v>101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</row>
    <row r="399" spans="1:32" hidden="1" x14ac:dyDescent="0.2">
      <c r="A399">
        <v>2851</v>
      </c>
      <c r="B399">
        <v>1593</v>
      </c>
      <c r="C399">
        <v>1</v>
      </c>
      <c r="D399">
        <v>16</v>
      </c>
      <c r="E399" s="5" t="s">
        <v>122</v>
      </c>
      <c r="F399" s="5" t="s">
        <v>102</v>
      </c>
      <c r="G399" s="5" t="s">
        <v>99</v>
      </c>
      <c r="H399" s="5" t="s">
        <v>27</v>
      </c>
      <c r="I399" s="5"/>
      <c r="J399" s="5" t="s">
        <v>103</v>
      </c>
      <c r="K399" s="5"/>
      <c r="L399" s="5" t="s">
        <v>101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</row>
    <row r="400" spans="1:32" hidden="1" x14ac:dyDescent="0.2">
      <c r="A400">
        <v>2851</v>
      </c>
      <c r="B400">
        <v>2148</v>
      </c>
      <c r="C400">
        <v>1</v>
      </c>
      <c r="D400">
        <v>11</v>
      </c>
      <c r="E400" s="5" t="s">
        <v>122</v>
      </c>
      <c r="F400" s="5" t="s">
        <v>3</v>
      </c>
      <c r="G400" s="5" t="s">
        <v>99</v>
      </c>
      <c r="H400" s="5" t="s">
        <v>28</v>
      </c>
      <c r="I400" s="5"/>
      <c r="J400" s="5" t="s">
        <v>100</v>
      </c>
      <c r="K400" s="5"/>
      <c r="L400" s="5" t="s">
        <v>101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</row>
    <row r="401" spans="1:32" hidden="1" x14ac:dyDescent="0.2">
      <c r="A401">
        <v>2851</v>
      </c>
      <c r="B401">
        <v>1593</v>
      </c>
      <c r="C401">
        <v>1</v>
      </c>
      <c r="D401">
        <v>11</v>
      </c>
      <c r="E401" s="5" t="s">
        <v>122</v>
      </c>
      <c r="F401" s="5" t="s">
        <v>102</v>
      </c>
      <c r="G401" s="5" t="s">
        <v>99</v>
      </c>
      <c r="H401" s="5" t="s">
        <v>28</v>
      </c>
      <c r="I401" s="5"/>
      <c r="J401" s="5" t="s">
        <v>103</v>
      </c>
      <c r="K401" s="5"/>
      <c r="L401" s="5" t="s">
        <v>101</v>
      </c>
      <c r="M401" s="5">
        <v>0.3</v>
      </c>
      <c r="N401" s="5">
        <v>0.3</v>
      </c>
      <c r="O401" s="5">
        <v>0.3</v>
      </c>
      <c r="P401" s="5">
        <v>0.3</v>
      </c>
      <c r="Q401" s="5">
        <v>0.3</v>
      </c>
      <c r="R401" s="5">
        <v>0.3</v>
      </c>
      <c r="S401" s="5">
        <v>0.3</v>
      </c>
      <c r="T401" s="5">
        <v>0.3</v>
      </c>
      <c r="U401" s="5">
        <v>0.3</v>
      </c>
      <c r="V401" s="5">
        <v>0.3</v>
      </c>
      <c r="W401" s="5">
        <v>0.3</v>
      </c>
      <c r="X401" s="5">
        <v>0.3</v>
      </c>
      <c r="Y401" s="5">
        <v>0.3</v>
      </c>
      <c r="Z401" s="5">
        <v>0</v>
      </c>
      <c r="AA401" s="5">
        <v>0</v>
      </c>
      <c r="AB401" s="5">
        <v>0.3</v>
      </c>
      <c r="AC401" s="5">
        <v>0.3</v>
      </c>
      <c r="AD401" s="5">
        <v>0.3</v>
      </c>
      <c r="AE401" s="5">
        <v>0.3</v>
      </c>
      <c r="AF401" s="5">
        <v>0.3</v>
      </c>
    </row>
    <row r="402" spans="1:32" hidden="1" x14ac:dyDescent="0.2">
      <c r="A402">
        <v>2851</v>
      </c>
      <c r="B402">
        <v>2148</v>
      </c>
      <c r="C402">
        <v>1</v>
      </c>
      <c r="D402">
        <v>14</v>
      </c>
      <c r="E402" s="5" t="s">
        <v>122</v>
      </c>
      <c r="F402" s="5" t="s">
        <v>3</v>
      </c>
      <c r="G402" s="5" t="s">
        <v>99</v>
      </c>
      <c r="H402" s="5" t="s">
        <v>1</v>
      </c>
      <c r="I402" s="5"/>
      <c r="J402" s="5" t="s">
        <v>100</v>
      </c>
      <c r="K402" s="5"/>
      <c r="L402" s="5" t="s">
        <v>101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</row>
    <row r="403" spans="1:32" hidden="1" x14ac:dyDescent="0.2">
      <c r="A403">
        <v>2851</v>
      </c>
      <c r="B403">
        <v>1593</v>
      </c>
      <c r="C403">
        <v>1</v>
      </c>
      <c r="D403">
        <v>14</v>
      </c>
      <c r="E403" s="5" t="s">
        <v>122</v>
      </c>
      <c r="F403" s="5" t="s">
        <v>102</v>
      </c>
      <c r="G403" s="5" t="s">
        <v>99</v>
      </c>
      <c r="H403" s="5" t="s">
        <v>1</v>
      </c>
      <c r="I403" s="5"/>
      <c r="J403" s="5" t="s">
        <v>103</v>
      </c>
      <c r="K403" s="5"/>
      <c r="L403" s="5" t="s">
        <v>101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</row>
    <row r="404" spans="1:32" hidden="1" x14ac:dyDescent="0.2">
      <c r="A404">
        <v>14424</v>
      </c>
      <c r="B404">
        <v>2148</v>
      </c>
      <c r="C404">
        <v>1</v>
      </c>
      <c r="D404">
        <v>15</v>
      </c>
      <c r="E404" s="5" t="s">
        <v>123</v>
      </c>
      <c r="F404" s="5" t="s">
        <v>3</v>
      </c>
      <c r="G404" s="5" t="s">
        <v>99</v>
      </c>
      <c r="H404" s="5" t="s">
        <v>15</v>
      </c>
      <c r="I404" s="5"/>
      <c r="J404" s="5" t="s">
        <v>100</v>
      </c>
      <c r="K404" s="5"/>
      <c r="L404" s="5" t="s">
        <v>101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</row>
    <row r="405" spans="1:32" hidden="1" x14ac:dyDescent="0.2">
      <c r="A405">
        <v>14424</v>
      </c>
      <c r="B405">
        <v>1593</v>
      </c>
      <c r="C405">
        <v>1</v>
      </c>
      <c r="D405">
        <v>15</v>
      </c>
      <c r="E405" s="5" t="s">
        <v>123</v>
      </c>
      <c r="F405" s="5" t="s">
        <v>102</v>
      </c>
      <c r="G405" s="5" t="s">
        <v>99</v>
      </c>
      <c r="H405" s="5" t="s">
        <v>15</v>
      </c>
      <c r="I405" s="5"/>
      <c r="J405" s="5" t="s">
        <v>103</v>
      </c>
      <c r="K405" s="5"/>
      <c r="L405" s="5" t="s">
        <v>101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</row>
    <row r="406" spans="1:32" hidden="1" x14ac:dyDescent="0.2">
      <c r="A406">
        <v>14424</v>
      </c>
      <c r="B406">
        <v>2148</v>
      </c>
      <c r="C406">
        <v>1</v>
      </c>
      <c r="D406">
        <v>6</v>
      </c>
      <c r="E406" s="5" t="s">
        <v>123</v>
      </c>
      <c r="F406" s="5" t="s">
        <v>3</v>
      </c>
      <c r="G406" s="5" t="s">
        <v>99</v>
      </c>
      <c r="H406" s="5" t="s">
        <v>17</v>
      </c>
      <c r="I406" s="5"/>
      <c r="J406" s="5" t="s">
        <v>100</v>
      </c>
      <c r="K406" s="5"/>
      <c r="L406" s="5" t="s">
        <v>101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</row>
    <row r="407" spans="1:32" hidden="1" x14ac:dyDescent="0.2">
      <c r="A407">
        <v>14424</v>
      </c>
      <c r="B407">
        <v>1593</v>
      </c>
      <c r="C407">
        <v>1</v>
      </c>
      <c r="D407">
        <v>6</v>
      </c>
      <c r="E407" s="5" t="s">
        <v>123</v>
      </c>
      <c r="F407" s="5" t="s">
        <v>102</v>
      </c>
      <c r="G407" s="5" t="s">
        <v>99</v>
      </c>
      <c r="H407" s="5" t="s">
        <v>17</v>
      </c>
      <c r="I407" s="5"/>
      <c r="J407" s="5" t="s">
        <v>103</v>
      </c>
      <c r="K407" s="5"/>
      <c r="L407" s="5" t="s">
        <v>101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</row>
    <row r="408" spans="1:32" hidden="1" x14ac:dyDescent="0.2">
      <c r="A408">
        <v>14424</v>
      </c>
      <c r="B408">
        <v>2148</v>
      </c>
      <c r="C408">
        <v>1</v>
      </c>
      <c r="D408">
        <v>1</v>
      </c>
      <c r="E408" s="5" t="s">
        <v>123</v>
      </c>
      <c r="F408" s="5" t="s">
        <v>3</v>
      </c>
      <c r="G408" s="5" t="s">
        <v>99</v>
      </c>
      <c r="H408" s="5" t="s">
        <v>19</v>
      </c>
      <c r="I408" s="5"/>
      <c r="J408" s="5" t="s">
        <v>100</v>
      </c>
      <c r="K408" s="5"/>
      <c r="L408" s="5" t="s">
        <v>101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</row>
    <row r="409" spans="1:32" x14ac:dyDescent="0.2">
      <c r="A409">
        <v>14424</v>
      </c>
      <c r="B409">
        <v>1593</v>
      </c>
      <c r="C409">
        <v>1</v>
      </c>
      <c r="D409">
        <v>1</v>
      </c>
      <c r="E409" s="5" t="s">
        <v>123</v>
      </c>
      <c r="F409" s="5" t="s">
        <v>102</v>
      </c>
      <c r="G409" s="5" t="s">
        <v>99</v>
      </c>
      <c r="H409" s="5" t="s">
        <v>19</v>
      </c>
      <c r="I409" s="5"/>
      <c r="J409" s="5" t="s">
        <v>103</v>
      </c>
      <c r="K409" s="5"/>
      <c r="L409" s="5" t="s">
        <v>101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</row>
    <row r="410" spans="1:32" hidden="1" x14ac:dyDescent="0.2">
      <c r="A410">
        <v>14424</v>
      </c>
      <c r="B410">
        <v>2148</v>
      </c>
      <c r="C410">
        <v>1</v>
      </c>
      <c r="D410">
        <v>13</v>
      </c>
      <c r="E410" s="5" t="s">
        <v>123</v>
      </c>
      <c r="F410" s="5" t="s">
        <v>3</v>
      </c>
      <c r="G410" s="5" t="s">
        <v>99</v>
      </c>
      <c r="H410" s="5" t="s">
        <v>20</v>
      </c>
      <c r="I410" s="5"/>
      <c r="J410" s="5" t="s">
        <v>100</v>
      </c>
      <c r="K410" s="5"/>
      <c r="L410" s="5" t="s">
        <v>101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</row>
    <row r="411" spans="1:32" hidden="1" x14ac:dyDescent="0.2">
      <c r="A411">
        <v>14424</v>
      </c>
      <c r="B411">
        <v>1593</v>
      </c>
      <c r="C411">
        <v>1</v>
      </c>
      <c r="D411">
        <v>13</v>
      </c>
      <c r="E411" s="5" t="s">
        <v>123</v>
      </c>
      <c r="F411" s="5" t="s">
        <v>102</v>
      </c>
      <c r="G411" s="5" t="s">
        <v>99</v>
      </c>
      <c r="H411" s="5" t="s">
        <v>20</v>
      </c>
      <c r="I411" s="5"/>
      <c r="J411" s="5" t="s">
        <v>103</v>
      </c>
      <c r="K411" s="5"/>
      <c r="L411" s="5" t="s">
        <v>101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</row>
    <row r="412" spans="1:32" hidden="1" x14ac:dyDescent="0.2">
      <c r="A412">
        <v>14424</v>
      </c>
      <c r="B412">
        <v>2148</v>
      </c>
      <c r="C412">
        <v>1</v>
      </c>
      <c r="D412">
        <v>17</v>
      </c>
      <c r="E412" s="5" t="s">
        <v>123</v>
      </c>
      <c r="F412" s="5" t="s">
        <v>3</v>
      </c>
      <c r="G412" s="5" t="s">
        <v>99</v>
      </c>
      <c r="H412" s="5" t="s">
        <v>22</v>
      </c>
      <c r="I412" s="5"/>
      <c r="J412" s="5" t="s">
        <v>100</v>
      </c>
      <c r="K412" s="5"/>
      <c r="L412" s="5" t="s">
        <v>101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</row>
    <row r="413" spans="1:32" hidden="1" x14ac:dyDescent="0.2">
      <c r="A413">
        <v>14424</v>
      </c>
      <c r="B413">
        <v>1593</v>
      </c>
      <c r="C413">
        <v>1</v>
      </c>
      <c r="D413">
        <v>17</v>
      </c>
      <c r="E413" s="5" t="s">
        <v>123</v>
      </c>
      <c r="F413" s="5" t="s">
        <v>102</v>
      </c>
      <c r="G413" s="5" t="s">
        <v>99</v>
      </c>
      <c r="H413" s="5" t="s">
        <v>22</v>
      </c>
      <c r="I413" s="5"/>
      <c r="J413" s="5" t="s">
        <v>103</v>
      </c>
      <c r="K413" s="5"/>
      <c r="L413" s="5" t="s">
        <v>101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</row>
    <row r="414" spans="1:32" hidden="1" x14ac:dyDescent="0.2">
      <c r="A414">
        <v>14424</v>
      </c>
      <c r="B414">
        <v>2148</v>
      </c>
      <c r="C414">
        <v>1</v>
      </c>
      <c r="D414">
        <v>12</v>
      </c>
      <c r="E414" s="5" t="s">
        <v>123</v>
      </c>
      <c r="F414" s="5" t="s">
        <v>3</v>
      </c>
      <c r="G414" s="5" t="s">
        <v>99</v>
      </c>
      <c r="H414" s="5" t="s">
        <v>23</v>
      </c>
      <c r="I414" s="5"/>
      <c r="J414" s="5" t="s">
        <v>100</v>
      </c>
      <c r="K414" s="5"/>
      <c r="L414" s="5" t="s">
        <v>101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</row>
    <row r="415" spans="1:32" hidden="1" x14ac:dyDescent="0.2">
      <c r="A415">
        <v>14424</v>
      </c>
      <c r="B415">
        <v>1593</v>
      </c>
      <c r="C415">
        <v>1</v>
      </c>
      <c r="D415">
        <v>12</v>
      </c>
      <c r="E415" s="5" t="s">
        <v>123</v>
      </c>
      <c r="F415" s="5" t="s">
        <v>102</v>
      </c>
      <c r="G415" s="5" t="s">
        <v>99</v>
      </c>
      <c r="H415" s="5" t="s">
        <v>23</v>
      </c>
      <c r="I415" s="5"/>
      <c r="J415" s="5" t="s">
        <v>103</v>
      </c>
      <c r="K415" s="5"/>
      <c r="L415" s="5" t="s">
        <v>101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</row>
    <row r="416" spans="1:32" hidden="1" x14ac:dyDescent="0.2">
      <c r="A416">
        <v>14424</v>
      </c>
      <c r="B416">
        <v>2148</v>
      </c>
      <c r="C416">
        <v>1</v>
      </c>
      <c r="D416">
        <v>19</v>
      </c>
      <c r="E416" s="5" t="s">
        <v>123</v>
      </c>
      <c r="F416" s="5" t="s">
        <v>3</v>
      </c>
      <c r="G416" s="5" t="s">
        <v>99</v>
      </c>
      <c r="H416" s="5" t="s">
        <v>25</v>
      </c>
      <c r="I416" s="5"/>
      <c r="J416" s="5" t="s">
        <v>100</v>
      </c>
      <c r="K416" s="5"/>
      <c r="L416" s="5" t="s">
        <v>101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</row>
    <row r="417" spans="1:32" hidden="1" x14ac:dyDescent="0.2">
      <c r="A417">
        <v>14424</v>
      </c>
      <c r="B417">
        <v>1593</v>
      </c>
      <c r="C417">
        <v>1</v>
      </c>
      <c r="D417">
        <v>19</v>
      </c>
      <c r="E417" s="5" t="s">
        <v>123</v>
      </c>
      <c r="F417" s="5" t="s">
        <v>102</v>
      </c>
      <c r="G417" s="5" t="s">
        <v>99</v>
      </c>
      <c r="H417" s="5" t="s">
        <v>25</v>
      </c>
      <c r="I417" s="5"/>
      <c r="J417" s="5" t="s">
        <v>103</v>
      </c>
      <c r="K417" s="5"/>
      <c r="L417" s="5" t="s">
        <v>101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</row>
    <row r="418" spans="1:32" hidden="1" x14ac:dyDescent="0.2">
      <c r="A418">
        <v>14424</v>
      </c>
      <c r="B418">
        <v>2148</v>
      </c>
      <c r="C418">
        <v>1</v>
      </c>
      <c r="D418">
        <v>16</v>
      </c>
      <c r="E418" s="5" t="s">
        <v>123</v>
      </c>
      <c r="F418" s="5" t="s">
        <v>3</v>
      </c>
      <c r="G418" s="5" t="s">
        <v>99</v>
      </c>
      <c r="H418" s="5" t="s">
        <v>27</v>
      </c>
      <c r="I418" s="5"/>
      <c r="J418" s="5" t="s">
        <v>100</v>
      </c>
      <c r="K418" s="5"/>
      <c r="L418" s="5" t="s">
        <v>101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</row>
    <row r="419" spans="1:32" hidden="1" x14ac:dyDescent="0.2">
      <c r="A419">
        <v>14424</v>
      </c>
      <c r="B419">
        <v>1593</v>
      </c>
      <c r="C419">
        <v>1</v>
      </c>
      <c r="D419">
        <v>16</v>
      </c>
      <c r="E419" s="5" t="s">
        <v>123</v>
      </c>
      <c r="F419" s="5" t="s">
        <v>102</v>
      </c>
      <c r="G419" s="5" t="s">
        <v>99</v>
      </c>
      <c r="H419" s="5" t="s">
        <v>27</v>
      </c>
      <c r="I419" s="5"/>
      <c r="J419" s="5" t="s">
        <v>103</v>
      </c>
      <c r="K419" s="5"/>
      <c r="L419" s="5" t="s">
        <v>101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</row>
    <row r="420" spans="1:32" hidden="1" x14ac:dyDescent="0.2">
      <c r="A420">
        <v>14424</v>
      </c>
      <c r="B420">
        <v>2148</v>
      </c>
      <c r="C420">
        <v>1</v>
      </c>
      <c r="D420">
        <v>11</v>
      </c>
      <c r="E420" s="5" t="s">
        <v>123</v>
      </c>
      <c r="F420" s="5" t="s">
        <v>3</v>
      </c>
      <c r="G420" s="5" t="s">
        <v>99</v>
      </c>
      <c r="H420" s="5" t="s">
        <v>28</v>
      </c>
      <c r="I420" s="5"/>
      <c r="J420" s="5" t="s">
        <v>100</v>
      </c>
      <c r="K420" s="5"/>
      <c r="L420" s="5" t="s">
        <v>101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</row>
    <row r="421" spans="1:32" hidden="1" x14ac:dyDescent="0.2">
      <c r="A421">
        <v>14424</v>
      </c>
      <c r="B421">
        <v>1593</v>
      </c>
      <c r="C421">
        <v>1</v>
      </c>
      <c r="D421">
        <v>11</v>
      </c>
      <c r="E421" s="5" t="s">
        <v>123</v>
      </c>
      <c r="F421" s="5" t="s">
        <v>102</v>
      </c>
      <c r="G421" s="5" t="s">
        <v>99</v>
      </c>
      <c r="H421" s="5" t="s">
        <v>28</v>
      </c>
      <c r="I421" s="5"/>
      <c r="J421" s="5" t="s">
        <v>103</v>
      </c>
      <c r="K421" s="5"/>
      <c r="L421" s="5" t="s">
        <v>101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</row>
    <row r="422" spans="1:32" hidden="1" x14ac:dyDescent="0.2">
      <c r="A422">
        <v>14424</v>
      </c>
      <c r="B422">
        <v>2148</v>
      </c>
      <c r="C422">
        <v>1</v>
      </c>
      <c r="D422">
        <v>14</v>
      </c>
      <c r="E422" s="5" t="s">
        <v>123</v>
      </c>
      <c r="F422" s="5" t="s">
        <v>3</v>
      </c>
      <c r="G422" s="5" t="s">
        <v>99</v>
      </c>
      <c r="H422" s="5" t="s">
        <v>1</v>
      </c>
      <c r="I422" s="5"/>
      <c r="J422" s="5" t="s">
        <v>100</v>
      </c>
      <c r="K422" s="5"/>
      <c r="L422" s="5" t="s">
        <v>101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</row>
    <row r="423" spans="1:32" hidden="1" x14ac:dyDescent="0.2">
      <c r="A423">
        <v>14424</v>
      </c>
      <c r="B423">
        <v>1593</v>
      </c>
      <c r="C423">
        <v>1</v>
      </c>
      <c r="D423">
        <v>14</v>
      </c>
      <c r="E423" s="5" t="s">
        <v>123</v>
      </c>
      <c r="F423" s="5" t="s">
        <v>102</v>
      </c>
      <c r="G423" s="5" t="s">
        <v>99</v>
      </c>
      <c r="H423" s="5" t="s">
        <v>1</v>
      </c>
      <c r="I423" s="5"/>
      <c r="J423" s="5" t="s">
        <v>103</v>
      </c>
      <c r="K423" s="5"/>
      <c r="L423" s="5" t="s">
        <v>101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</row>
    <row r="424" spans="1:32" hidden="1" x14ac:dyDescent="0.2">
      <c r="A424">
        <v>2847</v>
      </c>
      <c r="B424">
        <v>2148</v>
      </c>
      <c r="C424">
        <v>1</v>
      </c>
      <c r="D424">
        <v>15</v>
      </c>
      <c r="E424" s="5" t="s">
        <v>124</v>
      </c>
      <c r="F424" s="5" t="s">
        <v>3</v>
      </c>
      <c r="G424" s="5" t="s">
        <v>99</v>
      </c>
      <c r="H424" s="5" t="s">
        <v>15</v>
      </c>
      <c r="I424" s="5"/>
      <c r="J424" s="5" t="s">
        <v>100</v>
      </c>
      <c r="K424" s="5"/>
      <c r="L424" s="5" t="s">
        <v>101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1.3</v>
      </c>
      <c r="X424" s="5">
        <v>1.1000000000000001</v>
      </c>
      <c r="Y424" s="5">
        <v>1.5</v>
      </c>
      <c r="Z424" s="5">
        <v>1.6</v>
      </c>
      <c r="AA424" s="5">
        <v>1.1000000000000001</v>
      </c>
      <c r="AB424" s="5">
        <v>1</v>
      </c>
      <c r="AC424" s="5">
        <v>4.4000000000000004</v>
      </c>
      <c r="AD424" s="5">
        <v>5.0999999999999996</v>
      </c>
      <c r="AE424" s="5">
        <v>5.6</v>
      </c>
      <c r="AF424" s="5">
        <v>4.8</v>
      </c>
    </row>
    <row r="425" spans="1:32" hidden="1" x14ac:dyDescent="0.2">
      <c r="A425">
        <v>2847</v>
      </c>
      <c r="B425">
        <v>1593</v>
      </c>
      <c r="C425">
        <v>1</v>
      </c>
      <c r="D425">
        <v>15</v>
      </c>
      <c r="E425" s="5" t="s">
        <v>124</v>
      </c>
      <c r="F425" s="5" t="s">
        <v>102</v>
      </c>
      <c r="G425" s="5" t="s">
        <v>99</v>
      </c>
      <c r="H425" s="5" t="s">
        <v>15</v>
      </c>
      <c r="I425" s="5"/>
      <c r="J425" s="5" t="s">
        <v>103</v>
      </c>
      <c r="K425" s="5"/>
      <c r="L425" s="5" t="s">
        <v>101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1</v>
      </c>
      <c r="S425" s="5">
        <v>1</v>
      </c>
      <c r="T425" s="5">
        <v>1</v>
      </c>
      <c r="U425" s="5">
        <v>1</v>
      </c>
      <c r="V425" s="5">
        <v>1</v>
      </c>
      <c r="W425" s="5">
        <v>1</v>
      </c>
      <c r="X425" s="5">
        <v>1</v>
      </c>
      <c r="Y425" s="5">
        <v>1</v>
      </c>
      <c r="Z425" s="5">
        <v>1.2</v>
      </c>
      <c r="AA425" s="5">
        <v>1.2</v>
      </c>
      <c r="AB425" s="5">
        <v>1.2</v>
      </c>
      <c r="AC425" s="5">
        <v>4.5</v>
      </c>
      <c r="AD425" s="5">
        <v>4.5</v>
      </c>
      <c r="AE425" s="5">
        <v>4.5</v>
      </c>
      <c r="AF425" s="5">
        <v>6.8</v>
      </c>
    </row>
    <row r="426" spans="1:32" hidden="1" x14ac:dyDescent="0.2">
      <c r="A426">
        <v>2847</v>
      </c>
      <c r="B426">
        <v>2148</v>
      </c>
      <c r="C426">
        <v>1</v>
      </c>
      <c r="D426">
        <v>6</v>
      </c>
      <c r="E426" s="5" t="s">
        <v>124</v>
      </c>
      <c r="F426" s="5" t="s">
        <v>3</v>
      </c>
      <c r="G426" s="5" t="s">
        <v>99</v>
      </c>
      <c r="H426" s="5" t="s">
        <v>17</v>
      </c>
      <c r="I426" s="5"/>
      <c r="J426" s="5" t="s">
        <v>100</v>
      </c>
      <c r="K426" s="5"/>
      <c r="L426" s="5" t="s">
        <v>101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5</v>
      </c>
      <c r="Z426" s="5">
        <v>16</v>
      </c>
      <c r="AA426" s="5">
        <v>92</v>
      </c>
      <c r="AB426" s="5">
        <v>290</v>
      </c>
      <c r="AC426" s="5">
        <v>610</v>
      </c>
      <c r="AD426" s="5">
        <v>688</v>
      </c>
      <c r="AE426" s="5">
        <v>805.1</v>
      </c>
      <c r="AF426" s="5">
        <v>1072.0999999999999</v>
      </c>
    </row>
    <row r="427" spans="1:32" hidden="1" x14ac:dyDescent="0.2">
      <c r="A427">
        <v>2847</v>
      </c>
      <c r="B427">
        <v>1593</v>
      </c>
      <c r="C427">
        <v>1</v>
      </c>
      <c r="D427">
        <v>6</v>
      </c>
      <c r="E427" s="5" t="s">
        <v>124</v>
      </c>
      <c r="F427" s="5" t="s">
        <v>102</v>
      </c>
      <c r="G427" s="5" t="s">
        <v>99</v>
      </c>
      <c r="H427" s="5" t="s">
        <v>17</v>
      </c>
      <c r="I427" s="5"/>
      <c r="J427" s="5" t="s">
        <v>103</v>
      </c>
      <c r="K427" s="5"/>
      <c r="L427" s="5" t="s">
        <v>101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10</v>
      </c>
      <c r="Z427" s="5">
        <v>10</v>
      </c>
      <c r="AA427" s="5">
        <v>105</v>
      </c>
      <c r="AB427" s="5">
        <v>297</v>
      </c>
      <c r="AC427" s="5">
        <v>356.8</v>
      </c>
      <c r="AD427" s="5">
        <v>436.8</v>
      </c>
      <c r="AE427" s="5">
        <v>437</v>
      </c>
      <c r="AF427" s="5">
        <v>827</v>
      </c>
    </row>
    <row r="428" spans="1:32" hidden="1" x14ac:dyDescent="0.2">
      <c r="A428">
        <v>2847</v>
      </c>
      <c r="B428">
        <v>2148</v>
      </c>
      <c r="C428">
        <v>1</v>
      </c>
      <c r="D428">
        <v>1</v>
      </c>
      <c r="E428" s="5" t="s">
        <v>124</v>
      </c>
      <c r="F428" s="5" t="s">
        <v>3</v>
      </c>
      <c r="G428" s="5" t="s">
        <v>99</v>
      </c>
      <c r="H428" s="5" t="s">
        <v>19</v>
      </c>
      <c r="I428" s="5"/>
      <c r="J428" s="5" t="s">
        <v>100</v>
      </c>
      <c r="K428" s="5"/>
      <c r="L428" s="5" t="s">
        <v>101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0.52</v>
      </c>
      <c r="S428" s="5">
        <v>0.77</v>
      </c>
      <c r="T428" s="5">
        <v>3.01</v>
      </c>
      <c r="U428" s="5">
        <v>5.5</v>
      </c>
      <c r="V428" s="5">
        <v>6.81</v>
      </c>
      <c r="W428" s="5">
        <v>5.28</v>
      </c>
      <c r="X428" s="5">
        <v>21.09</v>
      </c>
      <c r="Y428" s="5">
        <v>29.05</v>
      </c>
      <c r="Z428" s="5">
        <v>90.27</v>
      </c>
      <c r="AA428" s="5">
        <v>118.28</v>
      </c>
      <c r="AB428" s="5">
        <v>170.97</v>
      </c>
      <c r="AC428" s="5">
        <v>192.62</v>
      </c>
      <c r="AD428" s="5">
        <v>443.73</v>
      </c>
      <c r="AE428" s="5">
        <v>713</v>
      </c>
      <c r="AF428" s="5">
        <v>1352</v>
      </c>
    </row>
    <row r="429" spans="1:32" x14ac:dyDescent="0.2">
      <c r="A429">
        <v>2847</v>
      </c>
      <c r="B429">
        <v>1593</v>
      </c>
      <c r="C429">
        <v>1</v>
      </c>
      <c r="D429">
        <v>1</v>
      </c>
      <c r="E429" s="5" t="s">
        <v>124</v>
      </c>
      <c r="F429" s="5" t="s">
        <v>102</v>
      </c>
      <c r="G429" s="5" t="s">
        <v>99</v>
      </c>
      <c r="H429" s="5" t="s">
        <v>19</v>
      </c>
      <c r="I429" s="5"/>
      <c r="J429" s="5" t="s">
        <v>103</v>
      </c>
      <c r="K429" s="5"/>
      <c r="L429" s="5" t="s">
        <v>101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0.19</v>
      </c>
      <c r="S429" s="5">
        <v>1.2</v>
      </c>
      <c r="T429" s="5">
        <v>4.0999999999999996</v>
      </c>
      <c r="U429" s="5">
        <v>9</v>
      </c>
      <c r="V429" s="5">
        <v>9</v>
      </c>
      <c r="W429" s="5">
        <v>36.9</v>
      </c>
      <c r="X429" s="5">
        <v>46.7</v>
      </c>
      <c r="Y429" s="5">
        <v>54.5</v>
      </c>
      <c r="Z429" s="5">
        <v>52.61</v>
      </c>
      <c r="AA429" s="5">
        <v>145.81</v>
      </c>
      <c r="AB429" s="5">
        <v>147.29</v>
      </c>
      <c r="AC429" s="5">
        <v>201.09</v>
      </c>
      <c r="AD429" s="5">
        <v>272.22000000000003</v>
      </c>
      <c r="AE429" s="5">
        <v>589.04999999999995</v>
      </c>
      <c r="AF429" s="5">
        <v>898.54</v>
      </c>
    </row>
    <row r="430" spans="1:32" hidden="1" x14ac:dyDescent="0.2">
      <c r="A430">
        <v>2847</v>
      </c>
      <c r="B430">
        <v>2148</v>
      </c>
      <c r="C430">
        <v>1</v>
      </c>
      <c r="D430">
        <v>13</v>
      </c>
      <c r="E430" s="5" t="s">
        <v>124</v>
      </c>
      <c r="F430" s="5" t="s">
        <v>3</v>
      </c>
      <c r="G430" s="5" t="s">
        <v>99</v>
      </c>
      <c r="H430" s="5" t="s">
        <v>20</v>
      </c>
      <c r="I430" s="5"/>
      <c r="J430" s="5" t="s">
        <v>100</v>
      </c>
      <c r="K430" s="5"/>
      <c r="L430" s="5" t="s">
        <v>101</v>
      </c>
      <c r="M430" s="5">
        <v>0</v>
      </c>
      <c r="N430" s="5">
        <v>0</v>
      </c>
      <c r="O430" s="5">
        <v>0</v>
      </c>
      <c r="P430" s="5">
        <v>0</v>
      </c>
      <c r="Q430" s="5">
        <v>1</v>
      </c>
      <c r="R430" s="5">
        <v>1</v>
      </c>
      <c r="S430" s="5">
        <v>1</v>
      </c>
      <c r="T430" s="5">
        <v>1</v>
      </c>
      <c r="U430" s="5">
        <v>1</v>
      </c>
      <c r="V430" s="5">
        <v>1</v>
      </c>
      <c r="W430" s="5">
        <v>1</v>
      </c>
      <c r="X430" s="5">
        <v>1</v>
      </c>
      <c r="Y430" s="5">
        <v>9</v>
      </c>
      <c r="Z430" s="5">
        <v>60</v>
      </c>
      <c r="AA430" s="5">
        <v>41</v>
      </c>
      <c r="AB430" s="5">
        <v>62</v>
      </c>
      <c r="AC430" s="5">
        <v>67</v>
      </c>
      <c r="AD430" s="5">
        <v>79</v>
      </c>
      <c r="AE430" s="5">
        <v>95.83</v>
      </c>
      <c r="AF430" s="5">
        <v>114.16</v>
      </c>
    </row>
    <row r="431" spans="1:32" hidden="1" x14ac:dyDescent="0.2">
      <c r="A431">
        <v>2847</v>
      </c>
      <c r="B431">
        <v>1593</v>
      </c>
      <c r="C431">
        <v>1</v>
      </c>
      <c r="D431">
        <v>13</v>
      </c>
      <c r="E431" s="5" t="s">
        <v>124</v>
      </c>
      <c r="F431" s="5" t="s">
        <v>102</v>
      </c>
      <c r="G431" s="5" t="s">
        <v>99</v>
      </c>
      <c r="H431" s="5" t="s">
        <v>20</v>
      </c>
      <c r="I431" s="5"/>
      <c r="J431" s="5" t="s">
        <v>103</v>
      </c>
      <c r="K431" s="5"/>
      <c r="L431" s="5" t="s">
        <v>101</v>
      </c>
      <c r="M431" s="5">
        <v>0.3</v>
      </c>
      <c r="N431" s="5">
        <v>0.3</v>
      </c>
      <c r="O431" s="5">
        <v>0.3</v>
      </c>
      <c r="P431" s="5">
        <v>0.3</v>
      </c>
      <c r="Q431" s="5">
        <v>0.41</v>
      </c>
      <c r="R431" s="5">
        <v>0.47</v>
      </c>
      <c r="S431" s="5">
        <v>0.45</v>
      </c>
      <c r="T431" s="5">
        <v>0.5</v>
      </c>
      <c r="U431" s="5">
        <v>0.59</v>
      </c>
      <c r="V431" s="5">
        <v>0.59</v>
      </c>
      <c r="W431" s="5">
        <v>0.81</v>
      </c>
      <c r="X431" s="5">
        <v>1.05</v>
      </c>
      <c r="Y431" s="5">
        <v>11.03</v>
      </c>
      <c r="Z431" s="5">
        <v>32.44</v>
      </c>
      <c r="AA431" s="5">
        <v>32.44</v>
      </c>
      <c r="AB431" s="5">
        <v>42</v>
      </c>
      <c r="AC431" s="5">
        <v>42</v>
      </c>
      <c r="AD431" s="5">
        <v>42</v>
      </c>
      <c r="AE431" s="5">
        <v>42</v>
      </c>
      <c r="AF431" s="5">
        <v>42</v>
      </c>
    </row>
    <row r="432" spans="1:32" hidden="1" x14ac:dyDescent="0.2">
      <c r="A432">
        <v>2847</v>
      </c>
      <c r="B432">
        <v>2148</v>
      </c>
      <c r="C432">
        <v>1</v>
      </c>
      <c r="D432">
        <v>17</v>
      </c>
      <c r="E432" s="5" t="s">
        <v>124</v>
      </c>
      <c r="F432" s="5" t="s">
        <v>3</v>
      </c>
      <c r="G432" s="5" t="s">
        <v>99</v>
      </c>
      <c r="H432" s="5" t="s">
        <v>22</v>
      </c>
      <c r="I432" s="5"/>
      <c r="J432" s="5" t="s">
        <v>100</v>
      </c>
      <c r="K432" s="5"/>
      <c r="L432" s="5" t="s">
        <v>101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47.2</v>
      </c>
      <c r="U432" s="5">
        <v>140.5</v>
      </c>
      <c r="V432" s="5">
        <v>226.9</v>
      </c>
      <c r="W432" s="5">
        <v>273.2</v>
      </c>
      <c r="X432" s="5">
        <v>310.5</v>
      </c>
      <c r="Y432" s="5">
        <v>330.3</v>
      </c>
      <c r="Z432" s="5">
        <v>632</v>
      </c>
      <c r="AA432" s="5">
        <v>1459</v>
      </c>
      <c r="AB432" s="5">
        <v>2058.85</v>
      </c>
      <c r="AC432" s="5">
        <v>2101.52</v>
      </c>
      <c r="AD432" s="5">
        <v>3412</v>
      </c>
      <c r="AE432" s="5">
        <v>4403</v>
      </c>
      <c r="AF432" s="5">
        <v>6369</v>
      </c>
    </row>
    <row r="433" spans="1:32" hidden="1" x14ac:dyDescent="0.2">
      <c r="A433">
        <v>2847</v>
      </c>
      <c r="B433">
        <v>1593</v>
      </c>
      <c r="C433">
        <v>1</v>
      </c>
      <c r="D433">
        <v>17</v>
      </c>
      <c r="E433" s="5" t="s">
        <v>124</v>
      </c>
      <c r="F433" s="5" t="s">
        <v>102</v>
      </c>
      <c r="G433" s="5" t="s">
        <v>99</v>
      </c>
      <c r="H433" s="5" t="s">
        <v>22</v>
      </c>
      <c r="I433" s="5"/>
      <c r="J433" s="5" t="s">
        <v>103</v>
      </c>
      <c r="K433" s="5"/>
      <c r="L433" s="5" t="s">
        <v>101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32.81</v>
      </c>
      <c r="U433" s="5">
        <v>74.87</v>
      </c>
      <c r="V433" s="5">
        <v>161</v>
      </c>
      <c r="W433" s="5">
        <v>226.3</v>
      </c>
      <c r="X433" s="5">
        <v>289.60000000000002</v>
      </c>
      <c r="Y433" s="5">
        <v>394.91</v>
      </c>
      <c r="Z433" s="5">
        <v>797.1</v>
      </c>
      <c r="AA433" s="5">
        <v>1006</v>
      </c>
      <c r="AB433" s="5">
        <v>1335</v>
      </c>
      <c r="AC433" s="5">
        <v>1832.15</v>
      </c>
      <c r="AD433" s="5">
        <v>2423.14</v>
      </c>
      <c r="AE433" s="5">
        <v>1930</v>
      </c>
      <c r="AF433" s="5">
        <v>2310</v>
      </c>
    </row>
    <row r="434" spans="1:32" hidden="1" x14ac:dyDescent="0.2">
      <c r="A434">
        <v>2847</v>
      </c>
      <c r="B434">
        <v>2148</v>
      </c>
      <c r="C434">
        <v>1</v>
      </c>
      <c r="D434">
        <v>12</v>
      </c>
      <c r="E434" s="5" t="s">
        <v>124</v>
      </c>
      <c r="F434" s="5" t="s">
        <v>3</v>
      </c>
      <c r="G434" s="5" t="s">
        <v>99</v>
      </c>
      <c r="H434" s="5" t="s">
        <v>23</v>
      </c>
      <c r="I434" s="5"/>
      <c r="J434" s="5" t="s">
        <v>100</v>
      </c>
      <c r="K434" s="5"/>
      <c r="L434" s="5" t="s">
        <v>101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4.32</v>
      </c>
      <c r="T434" s="5">
        <v>4.32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11.8</v>
      </c>
      <c r="AA434" s="5">
        <v>67.92</v>
      </c>
      <c r="AB434" s="5">
        <v>105.4</v>
      </c>
      <c r="AC434" s="5">
        <v>67.569999999999993</v>
      </c>
      <c r="AD434" s="5">
        <v>194.41</v>
      </c>
      <c r="AE434" s="5">
        <v>387.67</v>
      </c>
      <c r="AF434" s="5">
        <v>494.39</v>
      </c>
    </row>
    <row r="435" spans="1:32" hidden="1" x14ac:dyDescent="0.2">
      <c r="A435">
        <v>2847</v>
      </c>
      <c r="B435">
        <v>1593</v>
      </c>
      <c r="C435">
        <v>1</v>
      </c>
      <c r="D435">
        <v>12</v>
      </c>
      <c r="E435" s="5" t="s">
        <v>124</v>
      </c>
      <c r="F435" s="5" t="s">
        <v>102</v>
      </c>
      <c r="G435" s="5" t="s">
        <v>99</v>
      </c>
      <c r="H435" s="5" t="s">
        <v>23</v>
      </c>
      <c r="I435" s="5"/>
      <c r="J435" s="5" t="s">
        <v>103</v>
      </c>
      <c r="K435" s="5"/>
      <c r="L435" s="5" t="s">
        <v>101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3.7</v>
      </c>
      <c r="S435" s="5">
        <v>3.7</v>
      </c>
      <c r="T435" s="5">
        <v>4.68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88</v>
      </c>
      <c r="AA435" s="5">
        <v>88</v>
      </c>
      <c r="AB435" s="5">
        <v>41</v>
      </c>
      <c r="AC435" s="5">
        <v>70.5</v>
      </c>
      <c r="AD435" s="5">
        <v>181.17</v>
      </c>
      <c r="AE435" s="5">
        <v>180</v>
      </c>
      <c r="AF435" s="5">
        <v>220</v>
      </c>
    </row>
    <row r="436" spans="1:32" hidden="1" x14ac:dyDescent="0.2">
      <c r="A436">
        <v>2847</v>
      </c>
      <c r="B436">
        <v>2148</v>
      </c>
      <c r="C436">
        <v>1</v>
      </c>
      <c r="D436">
        <v>19</v>
      </c>
      <c r="E436" s="5" t="s">
        <v>124</v>
      </c>
      <c r="F436" s="5" t="s">
        <v>3</v>
      </c>
      <c r="G436" s="5" t="s">
        <v>99</v>
      </c>
      <c r="H436" s="5" t="s">
        <v>25</v>
      </c>
      <c r="I436" s="5"/>
      <c r="J436" s="5" t="s">
        <v>100</v>
      </c>
      <c r="K436" s="5"/>
      <c r="L436" s="5" t="s">
        <v>101</v>
      </c>
      <c r="M436" s="5">
        <v>1.5</v>
      </c>
      <c r="N436" s="5">
        <v>1.4</v>
      </c>
      <c r="O436" s="5">
        <v>1.3</v>
      </c>
      <c r="P436" s="5">
        <v>1.3</v>
      </c>
      <c r="Q436" s="5">
        <v>1.3</v>
      </c>
      <c r="R436" s="5">
        <v>1.3</v>
      </c>
      <c r="S436" s="5">
        <v>1.2</v>
      </c>
      <c r="T436" s="5">
        <v>1.3</v>
      </c>
      <c r="U436" s="5">
        <v>1.4</v>
      </c>
      <c r="V436" s="5">
        <v>16.5</v>
      </c>
      <c r="W436" s="5">
        <v>138.5</v>
      </c>
      <c r="X436" s="5">
        <v>1097</v>
      </c>
      <c r="Y436" s="5">
        <v>1201.2</v>
      </c>
      <c r="Z436" s="5">
        <v>1249.1199999999999</v>
      </c>
      <c r="AA436" s="5">
        <v>1246.08</v>
      </c>
      <c r="AB436" s="5">
        <v>1372.6</v>
      </c>
      <c r="AC436" s="5">
        <v>1469.55</v>
      </c>
      <c r="AD436" s="5">
        <v>1822.4</v>
      </c>
      <c r="AE436" s="5">
        <v>2544.0100000000002</v>
      </c>
      <c r="AF436" s="5">
        <v>3810.69</v>
      </c>
    </row>
    <row r="437" spans="1:32" hidden="1" x14ac:dyDescent="0.2">
      <c r="A437">
        <v>2847</v>
      </c>
      <c r="B437">
        <v>1593</v>
      </c>
      <c r="C437">
        <v>1</v>
      </c>
      <c r="D437">
        <v>19</v>
      </c>
      <c r="E437" s="5" t="s">
        <v>124</v>
      </c>
      <c r="F437" s="5" t="s">
        <v>102</v>
      </c>
      <c r="G437" s="5" t="s">
        <v>99</v>
      </c>
      <c r="H437" s="5" t="s">
        <v>25</v>
      </c>
      <c r="I437" s="5"/>
      <c r="J437" s="5" t="s">
        <v>103</v>
      </c>
      <c r="K437" s="5"/>
      <c r="L437" s="5" t="s">
        <v>101</v>
      </c>
      <c r="M437" s="5">
        <v>1</v>
      </c>
      <c r="N437" s="5">
        <v>1</v>
      </c>
      <c r="O437" s="5">
        <v>1</v>
      </c>
      <c r="P437" s="5">
        <v>1</v>
      </c>
      <c r="Q437" s="5">
        <v>1</v>
      </c>
      <c r="R437" s="5">
        <v>1</v>
      </c>
      <c r="S437" s="5">
        <v>1</v>
      </c>
      <c r="T437" s="5">
        <v>1</v>
      </c>
      <c r="U437" s="5">
        <v>1</v>
      </c>
      <c r="V437" s="5">
        <v>23</v>
      </c>
      <c r="W437" s="5">
        <v>164.67</v>
      </c>
      <c r="X437" s="5">
        <v>764.89</v>
      </c>
      <c r="Y437" s="5">
        <v>885.4</v>
      </c>
      <c r="Z437" s="5">
        <v>896.16</v>
      </c>
      <c r="AA437" s="5">
        <v>921.12</v>
      </c>
      <c r="AB437" s="5">
        <v>1019.25</v>
      </c>
      <c r="AC437" s="5">
        <v>1324.44</v>
      </c>
      <c r="AD437" s="5">
        <v>1540</v>
      </c>
      <c r="AE437" s="5">
        <v>1653</v>
      </c>
      <c r="AF437" s="5">
        <v>2710</v>
      </c>
    </row>
    <row r="438" spans="1:32" hidden="1" x14ac:dyDescent="0.2">
      <c r="A438">
        <v>2847</v>
      </c>
      <c r="B438">
        <v>2148</v>
      </c>
      <c r="C438">
        <v>1</v>
      </c>
      <c r="D438">
        <v>16</v>
      </c>
      <c r="E438" s="5" t="s">
        <v>124</v>
      </c>
      <c r="F438" s="5" t="s">
        <v>3</v>
      </c>
      <c r="G438" s="5" t="s">
        <v>99</v>
      </c>
      <c r="H438" s="5" t="s">
        <v>27</v>
      </c>
      <c r="I438" s="5"/>
      <c r="J438" s="5" t="s">
        <v>100</v>
      </c>
      <c r="K438" s="5"/>
      <c r="L438" s="5" t="s">
        <v>101</v>
      </c>
      <c r="M438" s="5">
        <v>0</v>
      </c>
      <c r="N438" s="5">
        <v>0</v>
      </c>
      <c r="O438" s="5">
        <v>0</v>
      </c>
      <c r="P438" s="5">
        <v>1</v>
      </c>
      <c r="Q438" s="5">
        <v>3</v>
      </c>
      <c r="R438" s="5">
        <v>5</v>
      </c>
      <c r="S438" s="5">
        <v>8</v>
      </c>
      <c r="T438" s="5">
        <v>13</v>
      </c>
      <c r="U438" s="5">
        <v>17</v>
      </c>
      <c r="V438" s="5">
        <v>38</v>
      </c>
      <c r="W438" s="5">
        <v>69</v>
      </c>
      <c r="X438" s="5">
        <v>146</v>
      </c>
      <c r="Y438" s="5">
        <v>169</v>
      </c>
      <c r="Z438" s="5">
        <v>268.61040000000003</v>
      </c>
      <c r="AA438" s="5">
        <v>410</v>
      </c>
      <c r="AB438" s="5">
        <v>499</v>
      </c>
      <c r="AC438" s="5">
        <v>761</v>
      </c>
      <c r="AD438" s="5">
        <v>793.72299999999996</v>
      </c>
      <c r="AE438" s="5">
        <v>793.72299999999996</v>
      </c>
      <c r="AF438" s="5">
        <v>793.72299999999996</v>
      </c>
    </row>
    <row r="439" spans="1:32" hidden="1" x14ac:dyDescent="0.2">
      <c r="A439">
        <v>2847</v>
      </c>
      <c r="B439">
        <v>1593</v>
      </c>
      <c r="C439">
        <v>1</v>
      </c>
      <c r="D439">
        <v>16</v>
      </c>
      <c r="E439" s="5" t="s">
        <v>124</v>
      </c>
      <c r="F439" s="5" t="s">
        <v>102</v>
      </c>
      <c r="G439" s="5" t="s">
        <v>99</v>
      </c>
      <c r="H439" s="5" t="s">
        <v>27</v>
      </c>
      <c r="I439" s="5"/>
      <c r="J439" s="5" t="s">
        <v>103</v>
      </c>
      <c r="K439" s="5"/>
      <c r="L439" s="5" t="s">
        <v>101</v>
      </c>
      <c r="M439" s="5">
        <v>0</v>
      </c>
      <c r="N439" s="5">
        <v>0</v>
      </c>
      <c r="O439" s="5">
        <v>0</v>
      </c>
      <c r="P439" s="5">
        <v>0.3</v>
      </c>
      <c r="Q439" s="5">
        <v>1.5</v>
      </c>
      <c r="R439" s="5">
        <v>2.9</v>
      </c>
      <c r="S439" s="5">
        <v>4.5999999999999996</v>
      </c>
      <c r="T439" s="5">
        <v>7.7</v>
      </c>
      <c r="U439" s="5">
        <v>11.8</v>
      </c>
      <c r="V439" s="5">
        <v>25.3</v>
      </c>
      <c r="W439" s="5">
        <v>45.7</v>
      </c>
      <c r="X439" s="5">
        <v>96.6</v>
      </c>
      <c r="Y439" s="5">
        <v>151.1</v>
      </c>
      <c r="Z439" s="5">
        <v>209.8</v>
      </c>
      <c r="AA439" s="5">
        <v>352.7</v>
      </c>
      <c r="AB439" s="5">
        <v>431.2</v>
      </c>
      <c r="AC439" s="5">
        <v>631.79999999999995</v>
      </c>
      <c r="AD439" s="5">
        <v>516</v>
      </c>
      <c r="AE439" s="5">
        <v>918.5</v>
      </c>
      <c r="AF439" s="5">
        <v>918.5</v>
      </c>
    </row>
    <row r="440" spans="1:32" hidden="1" x14ac:dyDescent="0.2">
      <c r="A440">
        <v>2847</v>
      </c>
      <c r="B440">
        <v>2148</v>
      </c>
      <c r="C440">
        <v>1</v>
      </c>
      <c r="D440">
        <v>11</v>
      </c>
      <c r="E440" s="5" t="s">
        <v>124</v>
      </c>
      <c r="F440" s="5" t="s">
        <v>3</v>
      </c>
      <c r="G440" s="5" t="s">
        <v>99</v>
      </c>
      <c r="H440" s="5" t="s">
        <v>28</v>
      </c>
      <c r="I440" s="5"/>
      <c r="J440" s="5" t="s">
        <v>100</v>
      </c>
      <c r="K440" s="5"/>
      <c r="L440" s="5" t="s">
        <v>101</v>
      </c>
      <c r="M440" s="5">
        <v>0</v>
      </c>
      <c r="N440" s="5">
        <v>0</v>
      </c>
      <c r="O440" s="5">
        <v>0</v>
      </c>
      <c r="P440" s="5">
        <v>0</v>
      </c>
      <c r="Q440" s="5">
        <v>9</v>
      </c>
      <c r="R440" s="5">
        <v>23</v>
      </c>
      <c r="S440" s="5">
        <v>83</v>
      </c>
      <c r="T440" s="5">
        <v>447</v>
      </c>
      <c r="U440" s="5">
        <v>931.4</v>
      </c>
      <c r="V440" s="5">
        <v>2031</v>
      </c>
      <c r="W440" s="5">
        <v>2318.5</v>
      </c>
      <c r="X440" s="5">
        <v>3553.5</v>
      </c>
      <c r="Y440" s="5">
        <v>4542.5</v>
      </c>
      <c r="Z440" s="5">
        <v>4542.5</v>
      </c>
      <c r="AA440" s="5">
        <v>4542.5</v>
      </c>
      <c r="AB440" s="5">
        <v>4773.46</v>
      </c>
      <c r="AC440" s="5">
        <v>4780.4799999999996</v>
      </c>
      <c r="AD440" s="5">
        <v>4792.99</v>
      </c>
      <c r="AE440" s="5">
        <v>5420</v>
      </c>
      <c r="AF440" s="5">
        <v>6170</v>
      </c>
    </row>
    <row r="441" spans="1:32" hidden="1" x14ac:dyDescent="0.2">
      <c r="A441">
        <v>2847</v>
      </c>
      <c r="B441">
        <v>1593</v>
      </c>
      <c r="C441">
        <v>1</v>
      </c>
      <c r="D441">
        <v>11</v>
      </c>
      <c r="E441" s="5" t="s">
        <v>124</v>
      </c>
      <c r="F441" s="5" t="s">
        <v>102</v>
      </c>
      <c r="G441" s="5" t="s">
        <v>99</v>
      </c>
      <c r="H441" s="5" t="s">
        <v>28</v>
      </c>
      <c r="I441" s="5"/>
      <c r="J441" s="5" t="s">
        <v>103</v>
      </c>
      <c r="K441" s="5"/>
      <c r="L441" s="5" t="s">
        <v>101</v>
      </c>
      <c r="M441" s="5">
        <v>0</v>
      </c>
      <c r="N441" s="5">
        <v>0</v>
      </c>
      <c r="O441" s="5">
        <v>0</v>
      </c>
      <c r="P441" s="5">
        <v>0</v>
      </c>
      <c r="Q441" s="5">
        <v>9.1999999999999993</v>
      </c>
      <c r="R441" s="5">
        <v>26</v>
      </c>
      <c r="S441" s="5">
        <v>174</v>
      </c>
      <c r="T441" s="5">
        <v>372</v>
      </c>
      <c r="U441" s="5">
        <v>792</v>
      </c>
      <c r="V441" s="5">
        <v>1298.51</v>
      </c>
      <c r="W441" s="5">
        <v>1419.58</v>
      </c>
      <c r="X441" s="5">
        <v>2115.8000000000002</v>
      </c>
      <c r="Y441" s="5">
        <v>2697.26</v>
      </c>
      <c r="Z441" s="5">
        <v>2849</v>
      </c>
      <c r="AA441" s="5">
        <v>2853.7</v>
      </c>
      <c r="AB441" s="5">
        <v>2860.48</v>
      </c>
      <c r="AC441" s="5">
        <v>2904.31</v>
      </c>
      <c r="AD441" s="5">
        <v>2908.53</v>
      </c>
      <c r="AE441" s="5">
        <v>3300</v>
      </c>
      <c r="AF441" s="5">
        <v>3380</v>
      </c>
    </row>
    <row r="442" spans="1:32" hidden="1" x14ac:dyDescent="0.2">
      <c r="A442">
        <v>2847</v>
      </c>
      <c r="B442">
        <v>2148</v>
      </c>
      <c r="C442">
        <v>1</v>
      </c>
      <c r="D442">
        <v>14</v>
      </c>
      <c r="E442" s="5" t="s">
        <v>124</v>
      </c>
      <c r="F442" s="5" t="s">
        <v>3</v>
      </c>
      <c r="G442" s="5" t="s">
        <v>99</v>
      </c>
      <c r="H442" s="5" t="s">
        <v>1</v>
      </c>
      <c r="I442" s="5"/>
      <c r="J442" s="5" t="s">
        <v>100</v>
      </c>
      <c r="K442" s="5"/>
      <c r="L442" s="5" t="s">
        <v>101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22</v>
      </c>
      <c r="AA442" s="5">
        <v>4818</v>
      </c>
      <c r="AB442" s="5">
        <v>9575</v>
      </c>
      <c r="AC442" s="5">
        <v>27791</v>
      </c>
      <c r="AD442" s="5">
        <v>28397</v>
      </c>
      <c r="AE442" s="5">
        <v>28397</v>
      </c>
      <c r="AF442" s="5">
        <v>28397</v>
      </c>
    </row>
    <row r="443" spans="1:32" hidden="1" x14ac:dyDescent="0.2">
      <c r="A443">
        <v>2847</v>
      </c>
      <c r="B443">
        <v>1593</v>
      </c>
      <c r="C443">
        <v>1</v>
      </c>
      <c r="D443">
        <v>14</v>
      </c>
      <c r="E443" s="5" t="s">
        <v>124</v>
      </c>
      <c r="F443" s="5" t="s">
        <v>102</v>
      </c>
      <c r="G443" s="5" t="s">
        <v>99</v>
      </c>
      <c r="H443" s="5" t="s">
        <v>1</v>
      </c>
      <c r="I443" s="5"/>
      <c r="J443" s="5" t="s">
        <v>103</v>
      </c>
      <c r="K443" s="5"/>
      <c r="L443" s="5" t="s">
        <v>101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86</v>
      </c>
      <c r="AA443" s="5">
        <v>5781</v>
      </c>
      <c r="AB443" s="5">
        <v>16656</v>
      </c>
      <c r="AC443" s="5">
        <v>16568</v>
      </c>
      <c r="AD443" s="5">
        <v>16568</v>
      </c>
      <c r="AE443" s="5">
        <v>16672</v>
      </c>
      <c r="AF443" s="5">
        <v>16823</v>
      </c>
    </row>
    <row r="444" spans="1:32" hidden="1" x14ac:dyDescent="0.2">
      <c r="A444">
        <v>14446</v>
      </c>
      <c r="B444">
        <v>2148</v>
      </c>
      <c r="C444">
        <v>1</v>
      </c>
      <c r="D444">
        <v>15</v>
      </c>
      <c r="E444" s="5" t="s">
        <v>125</v>
      </c>
      <c r="F444" s="5" t="s">
        <v>3</v>
      </c>
      <c r="G444" s="5" t="s">
        <v>99</v>
      </c>
      <c r="H444" s="5" t="s">
        <v>15</v>
      </c>
      <c r="I444" s="5"/>
      <c r="J444" s="5" t="s">
        <v>100</v>
      </c>
      <c r="K444" s="5"/>
      <c r="L444" s="5" t="s">
        <v>101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</row>
    <row r="445" spans="1:32" hidden="1" x14ac:dyDescent="0.2">
      <c r="A445">
        <v>14446</v>
      </c>
      <c r="B445">
        <v>1593</v>
      </c>
      <c r="C445">
        <v>1</v>
      </c>
      <c r="D445">
        <v>15</v>
      </c>
      <c r="E445" s="5" t="s">
        <v>125</v>
      </c>
      <c r="F445" s="5" t="s">
        <v>102</v>
      </c>
      <c r="G445" s="5" t="s">
        <v>99</v>
      </c>
      <c r="H445" s="5" t="s">
        <v>15</v>
      </c>
      <c r="I445" s="5"/>
      <c r="J445" s="5" t="s">
        <v>103</v>
      </c>
      <c r="K445" s="5"/>
      <c r="L445" s="5" t="s">
        <v>101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</row>
    <row r="446" spans="1:32" hidden="1" x14ac:dyDescent="0.2">
      <c r="A446">
        <v>14446</v>
      </c>
      <c r="B446">
        <v>2148</v>
      </c>
      <c r="C446">
        <v>1</v>
      </c>
      <c r="D446">
        <v>6</v>
      </c>
      <c r="E446" s="5" t="s">
        <v>125</v>
      </c>
      <c r="F446" s="5" t="s">
        <v>3</v>
      </c>
      <c r="G446" s="5" t="s">
        <v>99</v>
      </c>
      <c r="H446" s="5" t="s">
        <v>17</v>
      </c>
      <c r="I446" s="5"/>
      <c r="J446" s="5" t="s">
        <v>100</v>
      </c>
      <c r="K446" s="5"/>
      <c r="L446" s="5" t="s">
        <v>101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</row>
    <row r="447" spans="1:32" hidden="1" x14ac:dyDescent="0.2">
      <c r="A447">
        <v>14446</v>
      </c>
      <c r="B447">
        <v>1593</v>
      </c>
      <c r="C447">
        <v>1</v>
      </c>
      <c r="D447">
        <v>6</v>
      </c>
      <c r="E447" s="5" t="s">
        <v>125</v>
      </c>
      <c r="F447" s="5" t="s">
        <v>102</v>
      </c>
      <c r="G447" s="5" t="s">
        <v>99</v>
      </c>
      <c r="H447" s="5" t="s">
        <v>17</v>
      </c>
      <c r="I447" s="5"/>
      <c r="J447" s="5" t="s">
        <v>103</v>
      </c>
      <c r="K447" s="5"/>
      <c r="L447" s="5" t="s">
        <v>101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</row>
    <row r="448" spans="1:32" hidden="1" x14ac:dyDescent="0.2">
      <c r="A448">
        <v>14446</v>
      </c>
      <c r="B448">
        <v>2148</v>
      </c>
      <c r="C448">
        <v>1</v>
      </c>
      <c r="D448">
        <v>1</v>
      </c>
      <c r="E448" s="5" t="s">
        <v>125</v>
      </c>
      <c r="F448" s="5" t="s">
        <v>3</v>
      </c>
      <c r="G448" s="5" t="s">
        <v>99</v>
      </c>
      <c r="H448" s="5" t="s">
        <v>19</v>
      </c>
      <c r="I448" s="5"/>
      <c r="J448" s="5" t="s">
        <v>100</v>
      </c>
      <c r="K448" s="5"/>
      <c r="L448" s="5" t="s">
        <v>101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</row>
    <row r="449" spans="1:32" x14ac:dyDescent="0.2">
      <c r="A449">
        <v>14446</v>
      </c>
      <c r="B449">
        <v>1593</v>
      </c>
      <c r="C449">
        <v>1</v>
      </c>
      <c r="D449">
        <v>1</v>
      </c>
      <c r="E449" s="5" t="s">
        <v>125</v>
      </c>
      <c r="F449" s="5" t="s">
        <v>102</v>
      </c>
      <c r="G449" s="5" t="s">
        <v>99</v>
      </c>
      <c r="H449" s="5" t="s">
        <v>19</v>
      </c>
      <c r="I449" s="5"/>
      <c r="J449" s="5" t="s">
        <v>103</v>
      </c>
      <c r="K449" s="5"/>
      <c r="L449" s="5" t="s">
        <v>101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</row>
    <row r="450" spans="1:32" hidden="1" x14ac:dyDescent="0.2">
      <c r="A450">
        <v>14446</v>
      </c>
      <c r="B450">
        <v>2148</v>
      </c>
      <c r="C450">
        <v>1</v>
      </c>
      <c r="D450">
        <v>13</v>
      </c>
      <c r="E450" s="5" t="s">
        <v>125</v>
      </c>
      <c r="F450" s="5" t="s">
        <v>3</v>
      </c>
      <c r="G450" s="5" t="s">
        <v>99</v>
      </c>
      <c r="H450" s="5" t="s">
        <v>20</v>
      </c>
      <c r="I450" s="5"/>
      <c r="J450" s="5" t="s">
        <v>100</v>
      </c>
      <c r="K450" s="5"/>
      <c r="L450" s="5" t="s">
        <v>101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</row>
    <row r="451" spans="1:32" hidden="1" x14ac:dyDescent="0.2">
      <c r="A451">
        <v>14446</v>
      </c>
      <c r="B451">
        <v>1593</v>
      </c>
      <c r="C451">
        <v>1</v>
      </c>
      <c r="D451">
        <v>13</v>
      </c>
      <c r="E451" s="5" t="s">
        <v>125</v>
      </c>
      <c r="F451" s="5" t="s">
        <v>102</v>
      </c>
      <c r="G451" s="5" t="s">
        <v>99</v>
      </c>
      <c r="H451" s="5" t="s">
        <v>20</v>
      </c>
      <c r="I451" s="5"/>
      <c r="J451" s="5" t="s">
        <v>103</v>
      </c>
      <c r="K451" s="5"/>
      <c r="L451" s="5" t="s">
        <v>101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</row>
    <row r="452" spans="1:32" hidden="1" x14ac:dyDescent="0.2">
      <c r="A452">
        <v>14446</v>
      </c>
      <c r="B452">
        <v>2148</v>
      </c>
      <c r="C452">
        <v>1</v>
      </c>
      <c r="D452">
        <v>17</v>
      </c>
      <c r="E452" s="5" t="s">
        <v>125</v>
      </c>
      <c r="F452" s="5" t="s">
        <v>3</v>
      </c>
      <c r="G452" s="5" t="s">
        <v>99</v>
      </c>
      <c r="H452" s="5" t="s">
        <v>22</v>
      </c>
      <c r="I452" s="5"/>
      <c r="J452" s="5" t="s">
        <v>100</v>
      </c>
      <c r="K452" s="5"/>
      <c r="L452" s="5" t="s">
        <v>101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</row>
    <row r="453" spans="1:32" hidden="1" x14ac:dyDescent="0.2">
      <c r="A453">
        <v>14446</v>
      </c>
      <c r="B453">
        <v>1593</v>
      </c>
      <c r="C453">
        <v>1</v>
      </c>
      <c r="D453">
        <v>17</v>
      </c>
      <c r="E453" s="5" t="s">
        <v>125</v>
      </c>
      <c r="F453" s="5" t="s">
        <v>102</v>
      </c>
      <c r="G453" s="5" t="s">
        <v>99</v>
      </c>
      <c r="H453" s="5" t="s">
        <v>22</v>
      </c>
      <c r="I453" s="5"/>
      <c r="J453" s="5" t="s">
        <v>103</v>
      </c>
      <c r="K453" s="5"/>
      <c r="L453" s="5" t="s">
        <v>101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</row>
    <row r="454" spans="1:32" hidden="1" x14ac:dyDescent="0.2">
      <c r="A454">
        <v>14446</v>
      </c>
      <c r="B454">
        <v>2148</v>
      </c>
      <c r="C454">
        <v>1</v>
      </c>
      <c r="D454">
        <v>12</v>
      </c>
      <c r="E454" s="5" t="s">
        <v>125</v>
      </c>
      <c r="F454" s="5" t="s">
        <v>3</v>
      </c>
      <c r="G454" s="5" t="s">
        <v>99</v>
      </c>
      <c r="H454" s="5" t="s">
        <v>23</v>
      </c>
      <c r="I454" s="5"/>
      <c r="J454" s="5" t="s">
        <v>100</v>
      </c>
      <c r="K454" s="5"/>
      <c r="L454" s="5" t="s">
        <v>101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</row>
    <row r="455" spans="1:32" hidden="1" x14ac:dyDescent="0.2">
      <c r="A455">
        <v>14446</v>
      </c>
      <c r="B455">
        <v>1593</v>
      </c>
      <c r="C455">
        <v>1</v>
      </c>
      <c r="D455">
        <v>12</v>
      </c>
      <c r="E455" s="5" t="s">
        <v>125</v>
      </c>
      <c r="F455" s="5" t="s">
        <v>102</v>
      </c>
      <c r="G455" s="5" t="s">
        <v>99</v>
      </c>
      <c r="H455" s="5" t="s">
        <v>23</v>
      </c>
      <c r="I455" s="5"/>
      <c r="J455" s="5" t="s">
        <v>103</v>
      </c>
      <c r="K455" s="5"/>
      <c r="L455" s="5" t="s">
        <v>101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</row>
    <row r="456" spans="1:32" hidden="1" x14ac:dyDescent="0.2">
      <c r="A456">
        <v>14446</v>
      </c>
      <c r="B456">
        <v>2148</v>
      </c>
      <c r="C456">
        <v>1</v>
      </c>
      <c r="D456">
        <v>19</v>
      </c>
      <c r="E456" s="5" t="s">
        <v>125</v>
      </c>
      <c r="F456" s="5" t="s">
        <v>3</v>
      </c>
      <c r="G456" s="5" t="s">
        <v>99</v>
      </c>
      <c r="H456" s="5" t="s">
        <v>25</v>
      </c>
      <c r="I456" s="5"/>
      <c r="J456" s="5" t="s">
        <v>100</v>
      </c>
      <c r="K456" s="5"/>
      <c r="L456" s="5" t="s">
        <v>101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</row>
    <row r="457" spans="1:32" hidden="1" x14ac:dyDescent="0.2">
      <c r="A457">
        <v>14446</v>
      </c>
      <c r="B457">
        <v>1593</v>
      </c>
      <c r="C457">
        <v>1</v>
      </c>
      <c r="D457">
        <v>19</v>
      </c>
      <c r="E457" s="5" t="s">
        <v>125</v>
      </c>
      <c r="F457" s="5" t="s">
        <v>102</v>
      </c>
      <c r="G457" s="5" t="s">
        <v>99</v>
      </c>
      <c r="H457" s="5" t="s">
        <v>25</v>
      </c>
      <c r="I457" s="5"/>
      <c r="J457" s="5" t="s">
        <v>103</v>
      </c>
      <c r="K457" s="5"/>
      <c r="L457" s="5" t="s">
        <v>101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</row>
    <row r="458" spans="1:32" hidden="1" x14ac:dyDescent="0.2">
      <c r="A458">
        <v>14446</v>
      </c>
      <c r="B458">
        <v>2148</v>
      </c>
      <c r="C458">
        <v>1</v>
      </c>
      <c r="D458">
        <v>16</v>
      </c>
      <c r="E458" s="5" t="s">
        <v>125</v>
      </c>
      <c r="F458" s="5" t="s">
        <v>3</v>
      </c>
      <c r="G458" s="5" t="s">
        <v>99</v>
      </c>
      <c r="H458" s="5" t="s">
        <v>27</v>
      </c>
      <c r="I458" s="5"/>
      <c r="J458" s="5" t="s">
        <v>100</v>
      </c>
      <c r="K458" s="5"/>
      <c r="L458" s="5" t="s">
        <v>101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</row>
    <row r="459" spans="1:32" hidden="1" x14ac:dyDescent="0.2">
      <c r="A459">
        <v>14446</v>
      </c>
      <c r="B459">
        <v>1593</v>
      </c>
      <c r="C459">
        <v>1</v>
      </c>
      <c r="D459">
        <v>16</v>
      </c>
      <c r="E459" s="5" t="s">
        <v>125</v>
      </c>
      <c r="F459" s="5" t="s">
        <v>102</v>
      </c>
      <c r="G459" s="5" t="s">
        <v>99</v>
      </c>
      <c r="H459" s="5" t="s">
        <v>27</v>
      </c>
      <c r="I459" s="5"/>
      <c r="J459" s="5" t="s">
        <v>103</v>
      </c>
      <c r="K459" s="5"/>
      <c r="L459" s="5" t="s">
        <v>101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</row>
    <row r="460" spans="1:32" hidden="1" x14ac:dyDescent="0.2">
      <c r="A460">
        <v>14446</v>
      </c>
      <c r="B460">
        <v>2148</v>
      </c>
      <c r="C460">
        <v>1</v>
      </c>
      <c r="D460">
        <v>11</v>
      </c>
      <c r="E460" s="5" t="s">
        <v>125</v>
      </c>
      <c r="F460" s="5" t="s">
        <v>3</v>
      </c>
      <c r="G460" s="5" t="s">
        <v>99</v>
      </c>
      <c r="H460" s="5" t="s">
        <v>28</v>
      </c>
      <c r="I460" s="5"/>
      <c r="J460" s="5" t="s">
        <v>100</v>
      </c>
      <c r="K460" s="5"/>
      <c r="L460" s="5" t="s">
        <v>101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</row>
    <row r="461" spans="1:32" hidden="1" x14ac:dyDescent="0.2">
      <c r="A461">
        <v>14446</v>
      </c>
      <c r="B461">
        <v>1593</v>
      </c>
      <c r="C461">
        <v>1</v>
      </c>
      <c r="D461">
        <v>11</v>
      </c>
      <c r="E461" s="5" t="s">
        <v>125</v>
      </c>
      <c r="F461" s="5" t="s">
        <v>102</v>
      </c>
      <c r="G461" s="5" t="s">
        <v>99</v>
      </c>
      <c r="H461" s="5" t="s">
        <v>28</v>
      </c>
      <c r="I461" s="5"/>
      <c r="J461" s="5" t="s">
        <v>103</v>
      </c>
      <c r="K461" s="5"/>
      <c r="L461" s="5" t="s">
        <v>101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</row>
    <row r="462" spans="1:32" hidden="1" x14ac:dyDescent="0.2">
      <c r="A462">
        <v>14446</v>
      </c>
      <c r="B462">
        <v>2148</v>
      </c>
      <c r="C462">
        <v>1</v>
      </c>
      <c r="D462">
        <v>14</v>
      </c>
      <c r="E462" s="5" t="s">
        <v>125</v>
      </c>
      <c r="F462" s="5" t="s">
        <v>3</v>
      </c>
      <c r="G462" s="5" t="s">
        <v>99</v>
      </c>
      <c r="H462" s="5" t="s">
        <v>1</v>
      </c>
      <c r="I462" s="5"/>
      <c r="J462" s="5" t="s">
        <v>100</v>
      </c>
      <c r="K462" s="5"/>
      <c r="L462" s="5" t="s">
        <v>101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</row>
    <row r="463" spans="1:32" hidden="1" x14ac:dyDescent="0.2">
      <c r="A463">
        <v>14446</v>
      </c>
      <c r="B463">
        <v>1593</v>
      </c>
      <c r="C463">
        <v>1</v>
      </c>
      <c r="D463">
        <v>14</v>
      </c>
      <c r="E463" s="5" t="s">
        <v>125</v>
      </c>
      <c r="F463" s="5" t="s">
        <v>102</v>
      </c>
      <c r="G463" s="5" t="s">
        <v>99</v>
      </c>
      <c r="H463" s="5" t="s">
        <v>1</v>
      </c>
      <c r="I463" s="5"/>
      <c r="J463" s="5" t="s">
        <v>103</v>
      </c>
      <c r="K463" s="5"/>
      <c r="L463" s="5" t="s">
        <v>101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</row>
    <row r="464" spans="1:32" hidden="1" x14ac:dyDescent="0.2">
      <c r="A464">
        <v>4240</v>
      </c>
      <c r="B464">
        <v>2148</v>
      </c>
      <c r="C464">
        <v>1</v>
      </c>
      <c r="D464">
        <v>15</v>
      </c>
      <c r="E464" s="5" t="s">
        <v>126</v>
      </c>
      <c r="F464" s="5" t="s">
        <v>3</v>
      </c>
      <c r="G464" s="5" t="s">
        <v>99</v>
      </c>
      <c r="H464" s="5" t="s">
        <v>15</v>
      </c>
      <c r="I464" s="5"/>
      <c r="J464" s="5" t="s">
        <v>100</v>
      </c>
      <c r="K464" s="5"/>
      <c r="L464" s="5" t="s">
        <v>101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</row>
    <row r="465" spans="1:32" hidden="1" x14ac:dyDescent="0.2">
      <c r="A465">
        <v>4240</v>
      </c>
      <c r="B465">
        <v>1593</v>
      </c>
      <c r="C465">
        <v>1</v>
      </c>
      <c r="D465">
        <v>15</v>
      </c>
      <c r="E465" s="5" t="s">
        <v>126</v>
      </c>
      <c r="F465" s="5" t="s">
        <v>102</v>
      </c>
      <c r="G465" s="5" t="s">
        <v>99</v>
      </c>
      <c r="H465" s="5" t="s">
        <v>15</v>
      </c>
      <c r="I465" s="5"/>
      <c r="J465" s="5" t="s">
        <v>103</v>
      </c>
      <c r="K465" s="5"/>
      <c r="L465" s="5" t="s">
        <v>101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</row>
    <row r="466" spans="1:32" hidden="1" x14ac:dyDescent="0.2">
      <c r="A466">
        <v>4240</v>
      </c>
      <c r="B466">
        <v>2148</v>
      </c>
      <c r="C466">
        <v>1</v>
      </c>
      <c r="D466">
        <v>6</v>
      </c>
      <c r="E466" s="5" t="s">
        <v>126</v>
      </c>
      <c r="F466" s="5" t="s">
        <v>3</v>
      </c>
      <c r="G466" s="5" t="s">
        <v>99</v>
      </c>
      <c r="H466" s="5" t="s">
        <v>17</v>
      </c>
      <c r="I466" s="5"/>
      <c r="J466" s="5" t="s">
        <v>100</v>
      </c>
      <c r="K466" s="5"/>
      <c r="L466" s="5" t="s">
        <v>101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</row>
    <row r="467" spans="1:32" hidden="1" x14ac:dyDescent="0.2">
      <c r="A467">
        <v>4240</v>
      </c>
      <c r="B467">
        <v>1593</v>
      </c>
      <c r="C467">
        <v>1</v>
      </c>
      <c r="D467">
        <v>6</v>
      </c>
      <c r="E467" s="5" t="s">
        <v>126</v>
      </c>
      <c r="F467" s="5" t="s">
        <v>102</v>
      </c>
      <c r="G467" s="5" t="s">
        <v>99</v>
      </c>
      <c r="H467" s="5" t="s">
        <v>17</v>
      </c>
      <c r="I467" s="5"/>
      <c r="J467" s="5" t="s">
        <v>103</v>
      </c>
      <c r="K467" s="5"/>
      <c r="L467" s="5" t="s">
        <v>101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</row>
    <row r="468" spans="1:32" hidden="1" x14ac:dyDescent="0.2">
      <c r="A468">
        <v>4240</v>
      </c>
      <c r="B468">
        <v>2148</v>
      </c>
      <c r="C468">
        <v>1</v>
      </c>
      <c r="D468">
        <v>1</v>
      </c>
      <c r="E468" s="5" t="s">
        <v>126</v>
      </c>
      <c r="F468" s="5" t="s">
        <v>3</v>
      </c>
      <c r="G468" s="5" t="s">
        <v>99</v>
      </c>
      <c r="H468" s="5" t="s">
        <v>19</v>
      </c>
      <c r="I468" s="5"/>
      <c r="J468" s="5" t="s">
        <v>100</v>
      </c>
      <c r="K468" s="5"/>
      <c r="L468" s="5" t="s">
        <v>101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</row>
    <row r="469" spans="1:32" x14ac:dyDescent="0.2">
      <c r="A469">
        <v>4240</v>
      </c>
      <c r="B469">
        <v>1593</v>
      </c>
      <c r="C469">
        <v>1</v>
      </c>
      <c r="D469">
        <v>1</v>
      </c>
      <c r="E469" s="5" t="s">
        <v>126</v>
      </c>
      <c r="F469" s="5" t="s">
        <v>102</v>
      </c>
      <c r="G469" s="5" t="s">
        <v>99</v>
      </c>
      <c r="H469" s="5" t="s">
        <v>19</v>
      </c>
      <c r="I469" s="5"/>
      <c r="J469" s="5" t="s">
        <v>103</v>
      </c>
      <c r="K469" s="5"/>
      <c r="L469" s="5" t="s">
        <v>101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</row>
    <row r="470" spans="1:32" hidden="1" x14ac:dyDescent="0.2">
      <c r="A470">
        <v>4240</v>
      </c>
      <c r="B470">
        <v>2148</v>
      </c>
      <c r="C470">
        <v>1</v>
      </c>
      <c r="D470">
        <v>13</v>
      </c>
      <c r="E470" s="5" t="s">
        <v>126</v>
      </c>
      <c r="F470" s="5" t="s">
        <v>3</v>
      </c>
      <c r="G470" s="5" t="s">
        <v>99</v>
      </c>
      <c r="H470" s="5" t="s">
        <v>20</v>
      </c>
      <c r="I470" s="5"/>
      <c r="J470" s="5" t="s">
        <v>100</v>
      </c>
      <c r="K470" s="5"/>
      <c r="L470" s="5" t="s">
        <v>101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</row>
    <row r="471" spans="1:32" hidden="1" x14ac:dyDescent="0.2">
      <c r="A471">
        <v>4240</v>
      </c>
      <c r="B471">
        <v>1593</v>
      </c>
      <c r="C471">
        <v>1</v>
      </c>
      <c r="D471">
        <v>13</v>
      </c>
      <c r="E471" s="5" t="s">
        <v>126</v>
      </c>
      <c r="F471" s="5" t="s">
        <v>102</v>
      </c>
      <c r="G471" s="5" t="s">
        <v>99</v>
      </c>
      <c r="H471" s="5" t="s">
        <v>20</v>
      </c>
      <c r="I471" s="5"/>
      <c r="J471" s="5" t="s">
        <v>103</v>
      </c>
      <c r="K471" s="5"/>
      <c r="L471" s="5" t="s">
        <v>101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14</v>
      </c>
      <c r="AC471" s="5">
        <v>14</v>
      </c>
      <c r="AD471" s="5">
        <v>14</v>
      </c>
      <c r="AE471" s="5">
        <v>14</v>
      </c>
      <c r="AF471" s="5">
        <v>14</v>
      </c>
    </row>
    <row r="472" spans="1:32" hidden="1" x14ac:dyDescent="0.2">
      <c r="A472">
        <v>4240</v>
      </c>
      <c r="B472">
        <v>2148</v>
      </c>
      <c r="C472">
        <v>1</v>
      </c>
      <c r="D472">
        <v>17</v>
      </c>
      <c r="E472" s="5" t="s">
        <v>126</v>
      </c>
      <c r="F472" s="5" t="s">
        <v>3</v>
      </c>
      <c r="G472" s="5" t="s">
        <v>99</v>
      </c>
      <c r="H472" s="5" t="s">
        <v>22</v>
      </c>
      <c r="I472" s="5"/>
      <c r="J472" s="5" t="s">
        <v>100</v>
      </c>
      <c r="K472" s="5"/>
      <c r="L472" s="5" t="s">
        <v>101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</row>
    <row r="473" spans="1:32" hidden="1" x14ac:dyDescent="0.2">
      <c r="A473">
        <v>4240</v>
      </c>
      <c r="B473">
        <v>1593</v>
      </c>
      <c r="C473">
        <v>1</v>
      </c>
      <c r="D473">
        <v>17</v>
      </c>
      <c r="E473" s="5" t="s">
        <v>126</v>
      </c>
      <c r="F473" s="5" t="s">
        <v>102</v>
      </c>
      <c r="G473" s="5" t="s">
        <v>99</v>
      </c>
      <c r="H473" s="5" t="s">
        <v>22</v>
      </c>
      <c r="I473" s="5"/>
      <c r="J473" s="5" t="s">
        <v>103</v>
      </c>
      <c r="K473" s="5"/>
      <c r="L473" s="5" t="s">
        <v>101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</row>
    <row r="474" spans="1:32" hidden="1" x14ac:dyDescent="0.2">
      <c r="A474">
        <v>4240</v>
      </c>
      <c r="B474">
        <v>2148</v>
      </c>
      <c r="C474">
        <v>1</v>
      </c>
      <c r="D474">
        <v>12</v>
      </c>
      <c r="E474" s="5" t="s">
        <v>126</v>
      </c>
      <c r="F474" s="5" t="s">
        <v>3</v>
      </c>
      <c r="G474" s="5" t="s">
        <v>99</v>
      </c>
      <c r="H474" s="5" t="s">
        <v>23</v>
      </c>
      <c r="I474" s="5"/>
      <c r="J474" s="5" t="s">
        <v>100</v>
      </c>
      <c r="K474" s="5"/>
      <c r="L474" s="5" t="s">
        <v>101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</row>
    <row r="475" spans="1:32" hidden="1" x14ac:dyDescent="0.2">
      <c r="A475">
        <v>4240</v>
      </c>
      <c r="B475">
        <v>1593</v>
      </c>
      <c r="C475">
        <v>1</v>
      </c>
      <c r="D475">
        <v>12</v>
      </c>
      <c r="E475" s="5" t="s">
        <v>126</v>
      </c>
      <c r="F475" s="5" t="s">
        <v>102</v>
      </c>
      <c r="G475" s="5" t="s">
        <v>99</v>
      </c>
      <c r="H475" s="5" t="s">
        <v>23</v>
      </c>
      <c r="I475" s="5"/>
      <c r="J475" s="5" t="s">
        <v>103</v>
      </c>
      <c r="K475" s="5"/>
      <c r="L475" s="5" t="s">
        <v>101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</row>
    <row r="476" spans="1:32" hidden="1" x14ac:dyDescent="0.2">
      <c r="A476">
        <v>4240</v>
      </c>
      <c r="B476">
        <v>2148</v>
      </c>
      <c r="C476">
        <v>1</v>
      </c>
      <c r="D476">
        <v>19</v>
      </c>
      <c r="E476" s="5" t="s">
        <v>126</v>
      </c>
      <c r="F476" s="5" t="s">
        <v>3</v>
      </c>
      <c r="G476" s="5" t="s">
        <v>99</v>
      </c>
      <c r="H476" s="5" t="s">
        <v>25</v>
      </c>
      <c r="I476" s="5"/>
      <c r="J476" s="5" t="s">
        <v>100</v>
      </c>
      <c r="K476" s="5"/>
      <c r="L476" s="5" t="s">
        <v>101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</row>
    <row r="477" spans="1:32" hidden="1" x14ac:dyDescent="0.2">
      <c r="A477">
        <v>4240</v>
      </c>
      <c r="B477">
        <v>1593</v>
      </c>
      <c r="C477">
        <v>1</v>
      </c>
      <c r="D477">
        <v>19</v>
      </c>
      <c r="E477" s="5" t="s">
        <v>126</v>
      </c>
      <c r="F477" s="5" t="s">
        <v>102</v>
      </c>
      <c r="G477" s="5" t="s">
        <v>99</v>
      </c>
      <c r="H477" s="5" t="s">
        <v>25</v>
      </c>
      <c r="I477" s="5"/>
      <c r="J477" s="5" t="s">
        <v>103</v>
      </c>
      <c r="K477" s="5"/>
      <c r="L477" s="5" t="s">
        <v>101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</row>
    <row r="478" spans="1:32" hidden="1" x14ac:dyDescent="0.2">
      <c r="A478">
        <v>4240</v>
      </c>
      <c r="B478">
        <v>2148</v>
      </c>
      <c r="C478">
        <v>1</v>
      </c>
      <c r="D478">
        <v>16</v>
      </c>
      <c r="E478" s="5" t="s">
        <v>126</v>
      </c>
      <c r="F478" s="5" t="s">
        <v>3</v>
      </c>
      <c r="G478" s="5" t="s">
        <v>99</v>
      </c>
      <c r="H478" s="5" t="s">
        <v>27</v>
      </c>
      <c r="I478" s="5"/>
      <c r="J478" s="5" t="s">
        <v>100</v>
      </c>
      <c r="K478" s="5"/>
      <c r="L478" s="5" t="s">
        <v>101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</row>
    <row r="479" spans="1:32" hidden="1" x14ac:dyDescent="0.2">
      <c r="A479">
        <v>4240</v>
      </c>
      <c r="B479">
        <v>1593</v>
      </c>
      <c r="C479">
        <v>1</v>
      </c>
      <c r="D479">
        <v>16</v>
      </c>
      <c r="E479" s="5" t="s">
        <v>126</v>
      </c>
      <c r="F479" s="5" t="s">
        <v>102</v>
      </c>
      <c r="G479" s="5" t="s">
        <v>99</v>
      </c>
      <c r="H479" s="5" t="s">
        <v>27</v>
      </c>
      <c r="I479" s="5"/>
      <c r="J479" s="5" t="s">
        <v>103</v>
      </c>
      <c r="K479" s="5"/>
      <c r="L479" s="5" t="s">
        <v>101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</row>
    <row r="480" spans="1:32" hidden="1" x14ac:dyDescent="0.2">
      <c r="A480">
        <v>4240</v>
      </c>
      <c r="B480">
        <v>2148</v>
      </c>
      <c r="C480">
        <v>1</v>
      </c>
      <c r="D480">
        <v>11</v>
      </c>
      <c r="E480" s="5" t="s">
        <v>126</v>
      </c>
      <c r="F480" s="5" t="s">
        <v>3</v>
      </c>
      <c r="G480" s="5" t="s">
        <v>99</v>
      </c>
      <c r="H480" s="5" t="s">
        <v>28</v>
      </c>
      <c r="I480" s="5"/>
      <c r="J480" s="5" t="s">
        <v>100</v>
      </c>
      <c r="K480" s="5"/>
      <c r="L480" s="5" t="s">
        <v>101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</row>
    <row r="481" spans="1:32" hidden="1" x14ac:dyDescent="0.2">
      <c r="A481">
        <v>4240</v>
      </c>
      <c r="B481">
        <v>1593</v>
      </c>
      <c r="C481">
        <v>1</v>
      </c>
      <c r="D481">
        <v>11</v>
      </c>
      <c r="E481" s="5" t="s">
        <v>126</v>
      </c>
      <c r="F481" s="5" t="s">
        <v>102</v>
      </c>
      <c r="G481" s="5" t="s">
        <v>99</v>
      </c>
      <c r="H481" s="5" t="s">
        <v>28</v>
      </c>
      <c r="I481" s="5"/>
      <c r="J481" s="5" t="s">
        <v>103</v>
      </c>
      <c r="K481" s="5"/>
      <c r="L481" s="5" t="s">
        <v>101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</row>
    <row r="482" spans="1:32" hidden="1" x14ac:dyDescent="0.2">
      <c r="A482">
        <v>4240</v>
      </c>
      <c r="B482">
        <v>2148</v>
      </c>
      <c r="C482">
        <v>1</v>
      </c>
      <c r="D482">
        <v>14</v>
      </c>
      <c r="E482" s="5" t="s">
        <v>126</v>
      </c>
      <c r="F482" s="5" t="s">
        <v>3</v>
      </c>
      <c r="G482" s="5" t="s">
        <v>99</v>
      </c>
      <c r="H482" s="5" t="s">
        <v>1</v>
      </c>
      <c r="I482" s="5"/>
      <c r="J482" s="5" t="s">
        <v>100</v>
      </c>
      <c r="K482" s="5"/>
      <c r="L482" s="5" t="s">
        <v>101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</row>
    <row r="483" spans="1:32" hidden="1" x14ac:dyDescent="0.2">
      <c r="A483">
        <v>4240</v>
      </c>
      <c r="B483">
        <v>1593</v>
      </c>
      <c r="C483">
        <v>1</v>
      </c>
      <c r="D483">
        <v>14</v>
      </c>
      <c r="E483" s="5" t="s">
        <v>126</v>
      </c>
      <c r="F483" s="5" t="s">
        <v>102</v>
      </c>
      <c r="G483" s="5" t="s">
        <v>99</v>
      </c>
      <c r="H483" s="5" t="s">
        <v>1</v>
      </c>
      <c r="I483" s="5"/>
      <c r="J483" s="5" t="s">
        <v>103</v>
      </c>
      <c r="K483" s="5"/>
      <c r="L483" s="5" t="s">
        <v>101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</row>
    <row r="484" spans="1:32" hidden="1" x14ac:dyDescent="0.2">
      <c r="A484">
        <v>14432</v>
      </c>
      <c r="B484">
        <v>2148</v>
      </c>
      <c r="C484">
        <v>1</v>
      </c>
      <c r="D484">
        <v>15</v>
      </c>
      <c r="E484" s="5" t="s">
        <v>127</v>
      </c>
      <c r="F484" s="5" t="s">
        <v>3</v>
      </c>
      <c r="G484" s="5" t="s">
        <v>99</v>
      </c>
      <c r="H484" s="5" t="s">
        <v>15</v>
      </c>
      <c r="I484" s="5"/>
      <c r="J484" s="5" t="s">
        <v>100</v>
      </c>
      <c r="K484" s="5"/>
      <c r="L484" s="5" t="s">
        <v>101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</row>
    <row r="485" spans="1:32" hidden="1" x14ac:dyDescent="0.2">
      <c r="A485">
        <v>14432</v>
      </c>
      <c r="B485">
        <v>1593</v>
      </c>
      <c r="C485">
        <v>1</v>
      </c>
      <c r="D485">
        <v>15</v>
      </c>
      <c r="E485" s="5" t="s">
        <v>127</v>
      </c>
      <c r="F485" s="5" t="s">
        <v>102</v>
      </c>
      <c r="G485" s="5" t="s">
        <v>99</v>
      </c>
      <c r="H485" s="5" t="s">
        <v>15</v>
      </c>
      <c r="I485" s="5"/>
      <c r="J485" s="5" t="s">
        <v>103</v>
      </c>
      <c r="K485" s="5"/>
      <c r="L485" s="5" t="s">
        <v>101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</row>
    <row r="486" spans="1:32" hidden="1" x14ac:dyDescent="0.2">
      <c r="A486">
        <v>14432</v>
      </c>
      <c r="B486">
        <v>2148</v>
      </c>
      <c r="C486">
        <v>1</v>
      </c>
      <c r="D486">
        <v>6</v>
      </c>
      <c r="E486" s="5" t="s">
        <v>127</v>
      </c>
      <c r="F486" s="5" t="s">
        <v>3</v>
      </c>
      <c r="G486" s="5" t="s">
        <v>99</v>
      </c>
      <c r="H486" s="5" t="s">
        <v>17</v>
      </c>
      <c r="I486" s="5"/>
      <c r="J486" s="5" t="s">
        <v>100</v>
      </c>
      <c r="K486" s="5"/>
      <c r="L486" s="5" t="s">
        <v>101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</row>
    <row r="487" spans="1:32" hidden="1" x14ac:dyDescent="0.2">
      <c r="A487">
        <v>14432</v>
      </c>
      <c r="B487">
        <v>1593</v>
      </c>
      <c r="C487">
        <v>1</v>
      </c>
      <c r="D487">
        <v>6</v>
      </c>
      <c r="E487" s="5" t="s">
        <v>127</v>
      </c>
      <c r="F487" s="5" t="s">
        <v>102</v>
      </c>
      <c r="G487" s="5" t="s">
        <v>99</v>
      </c>
      <c r="H487" s="5" t="s">
        <v>17</v>
      </c>
      <c r="I487" s="5"/>
      <c r="J487" s="5" t="s">
        <v>103</v>
      </c>
      <c r="K487" s="5"/>
      <c r="L487" s="5" t="s">
        <v>101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</row>
    <row r="488" spans="1:32" hidden="1" x14ac:dyDescent="0.2">
      <c r="A488">
        <v>14432</v>
      </c>
      <c r="B488">
        <v>2148</v>
      </c>
      <c r="C488">
        <v>1</v>
      </c>
      <c r="D488">
        <v>1</v>
      </c>
      <c r="E488" s="5" t="s">
        <v>127</v>
      </c>
      <c r="F488" s="5" t="s">
        <v>3</v>
      </c>
      <c r="G488" s="5" t="s">
        <v>99</v>
      </c>
      <c r="H488" s="5" t="s">
        <v>19</v>
      </c>
      <c r="I488" s="5"/>
      <c r="J488" s="5" t="s">
        <v>100</v>
      </c>
      <c r="K488" s="5"/>
      <c r="L488" s="5" t="s">
        <v>101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</row>
    <row r="489" spans="1:32" x14ac:dyDescent="0.2">
      <c r="A489">
        <v>14432</v>
      </c>
      <c r="B489">
        <v>1593</v>
      </c>
      <c r="C489">
        <v>1</v>
      </c>
      <c r="D489">
        <v>1</v>
      </c>
      <c r="E489" s="5" t="s">
        <v>127</v>
      </c>
      <c r="F489" s="5" t="s">
        <v>102</v>
      </c>
      <c r="G489" s="5" t="s">
        <v>99</v>
      </c>
      <c r="H489" s="5" t="s">
        <v>19</v>
      </c>
      <c r="I489" s="5"/>
      <c r="J489" s="5" t="s">
        <v>103</v>
      </c>
      <c r="K489" s="5"/>
      <c r="L489" s="5" t="s">
        <v>101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</row>
    <row r="490" spans="1:32" hidden="1" x14ac:dyDescent="0.2">
      <c r="A490">
        <v>14432</v>
      </c>
      <c r="B490">
        <v>2148</v>
      </c>
      <c r="C490">
        <v>1</v>
      </c>
      <c r="D490">
        <v>13</v>
      </c>
      <c r="E490" s="5" t="s">
        <v>127</v>
      </c>
      <c r="F490" s="5" t="s">
        <v>3</v>
      </c>
      <c r="G490" s="5" t="s">
        <v>99</v>
      </c>
      <c r="H490" s="5" t="s">
        <v>20</v>
      </c>
      <c r="I490" s="5"/>
      <c r="J490" s="5" t="s">
        <v>100</v>
      </c>
      <c r="K490" s="5"/>
      <c r="L490" s="5" t="s">
        <v>101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</row>
    <row r="491" spans="1:32" hidden="1" x14ac:dyDescent="0.2">
      <c r="A491">
        <v>14432</v>
      </c>
      <c r="B491">
        <v>1593</v>
      </c>
      <c r="C491">
        <v>1</v>
      </c>
      <c r="D491">
        <v>13</v>
      </c>
      <c r="E491" s="5" t="s">
        <v>127</v>
      </c>
      <c r="F491" s="5" t="s">
        <v>102</v>
      </c>
      <c r="G491" s="5" t="s">
        <v>99</v>
      </c>
      <c r="H491" s="5" t="s">
        <v>20</v>
      </c>
      <c r="I491" s="5"/>
      <c r="J491" s="5" t="s">
        <v>103</v>
      </c>
      <c r="K491" s="5"/>
      <c r="L491" s="5" t="s">
        <v>101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</row>
    <row r="492" spans="1:32" hidden="1" x14ac:dyDescent="0.2">
      <c r="A492">
        <v>14432</v>
      </c>
      <c r="B492">
        <v>2148</v>
      </c>
      <c r="C492">
        <v>1</v>
      </c>
      <c r="D492">
        <v>17</v>
      </c>
      <c r="E492" s="5" t="s">
        <v>127</v>
      </c>
      <c r="F492" s="5" t="s">
        <v>3</v>
      </c>
      <c r="G492" s="5" t="s">
        <v>99</v>
      </c>
      <c r="H492" s="5" t="s">
        <v>22</v>
      </c>
      <c r="I492" s="5"/>
      <c r="J492" s="5" t="s">
        <v>100</v>
      </c>
      <c r="K492" s="5"/>
      <c r="L492" s="5" t="s">
        <v>101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</row>
    <row r="493" spans="1:32" hidden="1" x14ac:dyDescent="0.2">
      <c r="A493">
        <v>14432</v>
      </c>
      <c r="B493">
        <v>1593</v>
      </c>
      <c r="C493">
        <v>1</v>
      </c>
      <c r="D493">
        <v>17</v>
      </c>
      <c r="E493" s="5" t="s">
        <v>127</v>
      </c>
      <c r="F493" s="5" t="s">
        <v>102</v>
      </c>
      <c r="G493" s="5" t="s">
        <v>99</v>
      </c>
      <c r="H493" s="5" t="s">
        <v>22</v>
      </c>
      <c r="I493" s="5"/>
      <c r="J493" s="5" t="s">
        <v>103</v>
      </c>
      <c r="K493" s="5"/>
      <c r="L493" s="5" t="s">
        <v>101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</row>
    <row r="494" spans="1:32" hidden="1" x14ac:dyDescent="0.2">
      <c r="A494">
        <v>14432</v>
      </c>
      <c r="B494">
        <v>2148</v>
      </c>
      <c r="C494">
        <v>1</v>
      </c>
      <c r="D494">
        <v>12</v>
      </c>
      <c r="E494" s="5" t="s">
        <v>127</v>
      </c>
      <c r="F494" s="5" t="s">
        <v>3</v>
      </c>
      <c r="G494" s="5" t="s">
        <v>99</v>
      </c>
      <c r="H494" s="5" t="s">
        <v>23</v>
      </c>
      <c r="I494" s="5"/>
      <c r="J494" s="5" t="s">
        <v>100</v>
      </c>
      <c r="K494" s="5"/>
      <c r="L494" s="5" t="s">
        <v>101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</row>
    <row r="495" spans="1:32" hidden="1" x14ac:dyDescent="0.2">
      <c r="A495">
        <v>14432</v>
      </c>
      <c r="B495">
        <v>1593</v>
      </c>
      <c r="C495">
        <v>1</v>
      </c>
      <c r="D495">
        <v>12</v>
      </c>
      <c r="E495" s="5" t="s">
        <v>127</v>
      </c>
      <c r="F495" s="5" t="s">
        <v>102</v>
      </c>
      <c r="G495" s="5" t="s">
        <v>99</v>
      </c>
      <c r="H495" s="5" t="s">
        <v>23</v>
      </c>
      <c r="I495" s="5"/>
      <c r="J495" s="5" t="s">
        <v>103</v>
      </c>
      <c r="K495" s="5"/>
      <c r="L495" s="5" t="s">
        <v>101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</row>
    <row r="496" spans="1:32" hidden="1" x14ac:dyDescent="0.2">
      <c r="A496">
        <v>14432</v>
      </c>
      <c r="B496">
        <v>2148</v>
      </c>
      <c r="C496">
        <v>1</v>
      </c>
      <c r="D496">
        <v>19</v>
      </c>
      <c r="E496" s="5" t="s">
        <v>127</v>
      </c>
      <c r="F496" s="5" t="s">
        <v>3</v>
      </c>
      <c r="G496" s="5" t="s">
        <v>99</v>
      </c>
      <c r="H496" s="5" t="s">
        <v>25</v>
      </c>
      <c r="I496" s="5"/>
      <c r="J496" s="5" t="s">
        <v>100</v>
      </c>
      <c r="K496" s="5"/>
      <c r="L496" s="5" t="s">
        <v>101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</row>
    <row r="497" spans="1:32" hidden="1" x14ac:dyDescent="0.2">
      <c r="A497">
        <v>14432</v>
      </c>
      <c r="B497">
        <v>1593</v>
      </c>
      <c r="C497">
        <v>1</v>
      </c>
      <c r="D497">
        <v>19</v>
      </c>
      <c r="E497" s="5" t="s">
        <v>127</v>
      </c>
      <c r="F497" s="5" t="s">
        <v>102</v>
      </c>
      <c r="G497" s="5" t="s">
        <v>99</v>
      </c>
      <c r="H497" s="5" t="s">
        <v>25</v>
      </c>
      <c r="I497" s="5"/>
      <c r="J497" s="5" t="s">
        <v>103</v>
      </c>
      <c r="K497" s="5"/>
      <c r="L497" s="5" t="s">
        <v>101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</row>
    <row r="498" spans="1:32" hidden="1" x14ac:dyDescent="0.2">
      <c r="A498">
        <v>14432</v>
      </c>
      <c r="B498">
        <v>2148</v>
      </c>
      <c r="C498">
        <v>1</v>
      </c>
      <c r="D498">
        <v>16</v>
      </c>
      <c r="E498" s="5" t="s">
        <v>127</v>
      </c>
      <c r="F498" s="5" t="s">
        <v>3</v>
      </c>
      <c r="G498" s="5" t="s">
        <v>99</v>
      </c>
      <c r="H498" s="5" t="s">
        <v>27</v>
      </c>
      <c r="I498" s="5"/>
      <c r="J498" s="5" t="s">
        <v>100</v>
      </c>
      <c r="K498" s="5"/>
      <c r="L498" s="5" t="s">
        <v>101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</row>
    <row r="499" spans="1:32" hidden="1" x14ac:dyDescent="0.2">
      <c r="A499">
        <v>14432</v>
      </c>
      <c r="B499">
        <v>1593</v>
      </c>
      <c r="C499">
        <v>1</v>
      </c>
      <c r="D499">
        <v>16</v>
      </c>
      <c r="E499" s="5" t="s">
        <v>127</v>
      </c>
      <c r="F499" s="5" t="s">
        <v>102</v>
      </c>
      <c r="G499" s="5" t="s">
        <v>99</v>
      </c>
      <c r="H499" s="5" t="s">
        <v>27</v>
      </c>
      <c r="I499" s="5"/>
      <c r="J499" s="5" t="s">
        <v>103</v>
      </c>
      <c r="K499" s="5"/>
      <c r="L499" s="5" t="s">
        <v>101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</row>
    <row r="500" spans="1:32" hidden="1" x14ac:dyDescent="0.2">
      <c r="A500">
        <v>14432</v>
      </c>
      <c r="B500">
        <v>2148</v>
      </c>
      <c r="C500">
        <v>1</v>
      </c>
      <c r="D500">
        <v>11</v>
      </c>
      <c r="E500" s="5" t="s">
        <v>127</v>
      </c>
      <c r="F500" s="5" t="s">
        <v>3</v>
      </c>
      <c r="G500" s="5" t="s">
        <v>99</v>
      </c>
      <c r="H500" s="5" t="s">
        <v>28</v>
      </c>
      <c r="I500" s="5"/>
      <c r="J500" s="5" t="s">
        <v>100</v>
      </c>
      <c r="K500" s="5"/>
      <c r="L500" s="5" t="s">
        <v>101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</row>
    <row r="501" spans="1:32" hidden="1" x14ac:dyDescent="0.2">
      <c r="A501">
        <v>14432</v>
      </c>
      <c r="B501">
        <v>1593</v>
      </c>
      <c r="C501">
        <v>1</v>
      </c>
      <c r="D501">
        <v>11</v>
      </c>
      <c r="E501" s="5" t="s">
        <v>127</v>
      </c>
      <c r="F501" s="5" t="s">
        <v>102</v>
      </c>
      <c r="G501" s="5" t="s">
        <v>99</v>
      </c>
      <c r="H501" s="5" t="s">
        <v>28</v>
      </c>
      <c r="I501" s="5"/>
      <c r="J501" s="5" t="s">
        <v>103</v>
      </c>
      <c r="K501" s="5"/>
      <c r="L501" s="5" t="s">
        <v>101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</row>
    <row r="502" spans="1:32" hidden="1" x14ac:dyDescent="0.2">
      <c r="A502">
        <v>14432</v>
      </c>
      <c r="B502">
        <v>2148</v>
      </c>
      <c r="C502">
        <v>1</v>
      </c>
      <c r="D502">
        <v>14</v>
      </c>
      <c r="E502" s="5" t="s">
        <v>127</v>
      </c>
      <c r="F502" s="5" t="s">
        <v>3</v>
      </c>
      <c r="G502" s="5" t="s">
        <v>99</v>
      </c>
      <c r="H502" s="5" t="s">
        <v>1</v>
      </c>
      <c r="I502" s="5"/>
      <c r="J502" s="5" t="s">
        <v>100</v>
      </c>
      <c r="K502" s="5"/>
      <c r="L502" s="5" t="s">
        <v>101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</row>
    <row r="503" spans="1:32" hidden="1" x14ac:dyDescent="0.2">
      <c r="A503">
        <v>14432</v>
      </c>
      <c r="B503">
        <v>1593</v>
      </c>
      <c r="C503">
        <v>1</v>
      </c>
      <c r="D503">
        <v>14</v>
      </c>
      <c r="E503" s="5" t="s">
        <v>127</v>
      </c>
      <c r="F503" s="5" t="s">
        <v>102</v>
      </c>
      <c r="G503" s="5" t="s">
        <v>99</v>
      </c>
      <c r="H503" s="5" t="s">
        <v>1</v>
      </c>
      <c r="I503" s="5"/>
      <c r="J503" s="5" t="s">
        <v>103</v>
      </c>
      <c r="K503" s="5"/>
      <c r="L503" s="5" t="s">
        <v>101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</row>
    <row r="504" spans="1:32" hidden="1" x14ac:dyDescent="0.2">
      <c r="A504">
        <v>14437</v>
      </c>
      <c r="B504">
        <v>2148</v>
      </c>
      <c r="C504">
        <v>1</v>
      </c>
      <c r="D504">
        <v>15</v>
      </c>
      <c r="E504" s="5" t="s">
        <v>128</v>
      </c>
      <c r="F504" s="5" t="s">
        <v>3</v>
      </c>
      <c r="G504" s="5" t="s">
        <v>99</v>
      </c>
      <c r="H504" s="5" t="s">
        <v>15</v>
      </c>
      <c r="I504" s="5"/>
      <c r="J504" s="5" t="s">
        <v>100</v>
      </c>
      <c r="K504" s="5"/>
      <c r="L504" s="5" t="s">
        <v>101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</row>
    <row r="505" spans="1:32" hidden="1" x14ac:dyDescent="0.2">
      <c r="A505">
        <v>14437</v>
      </c>
      <c r="B505">
        <v>1593</v>
      </c>
      <c r="C505">
        <v>1</v>
      </c>
      <c r="D505">
        <v>15</v>
      </c>
      <c r="E505" s="5" t="s">
        <v>128</v>
      </c>
      <c r="F505" s="5" t="s">
        <v>102</v>
      </c>
      <c r="G505" s="5" t="s">
        <v>99</v>
      </c>
      <c r="H505" s="5" t="s">
        <v>15</v>
      </c>
      <c r="I505" s="5"/>
      <c r="J505" s="5" t="s">
        <v>103</v>
      </c>
      <c r="K505" s="5"/>
      <c r="L505" s="5" t="s">
        <v>101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</row>
    <row r="506" spans="1:32" hidden="1" x14ac:dyDescent="0.2">
      <c r="A506">
        <v>14437</v>
      </c>
      <c r="B506">
        <v>2148</v>
      </c>
      <c r="C506">
        <v>1</v>
      </c>
      <c r="D506">
        <v>6</v>
      </c>
      <c r="E506" s="5" t="s">
        <v>128</v>
      </c>
      <c r="F506" s="5" t="s">
        <v>3</v>
      </c>
      <c r="G506" s="5" t="s">
        <v>99</v>
      </c>
      <c r="H506" s="5" t="s">
        <v>17</v>
      </c>
      <c r="I506" s="5"/>
      <c r="J506" s="5" t="s">
        <v>100</v>
      </c>
      <c r="K506" s="5"/>
      <c r="L506" s="5" t="s">
        <v>101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</row>
    <row r="507" spans="1:32" hidden="1" x14ac:dyDescent="0.2">
      <c r="A507">
        <v>14437</v>
      </c>
      <c r="B507">
        <v>1593</v>
      </c>
      <c r="C507">
        <v>1</v>
      </c>
      <c r="D507">
        <v>6</v>
      </c>
      <c r="E507" s="5" t="s">
        <v>128</v>
      </c>
      <c r="F507" s="5" t="s">
        <v>102</v>
      </c>
      <c r="G507" s="5" t="s">
        <v>99</v>
      </c>
      <c r="H507" s="5" t="s">
        <v>17</v>
      </c>
      <c r="I507" s="5"/>
      <c r="J507" s="5" t="s">
        <v>103</v>
      </c>
      <c r="K507" s="5"/>
      <c r="L507" s="5" t="s">
        <v>101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</row>
    <row r="508" spans="1:32" hidden="1" x14ac:dyDescent="0.2">
      <c r="A508">
        <v>14437</v>
      </c>
      <c r="B508">
        <v>2148</v>
      </c>
      <c r="C508">
        <v>1</v>
      </c>
      <c r="D508">
        <v>1</v>
      </c>
      <c r="E508" s="5" t="s">
        <v>128</v>
      </c>
      <c r="F508" s="5" t="s">
        <v>3</v>
      </c>
      <c r="G508" s="5" t="s">
        <v>99</v>
      </c>
      <c r="H508" s="5" t="s">
        <v>19</v>
      </c>
      <c r="I508" s="5"/>
      <c r="J508" s="5" t="s">
        <v>100</v>
      </c>
      <c r="K508" s="5"/>
      <c r="L508" s="5" t="s">
        <v>101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</row>
    <row r="509" spans="1:32" x14ac:dyDescent="0.2">
      <c r="A509">
        <v>14437</v>
      </c>
      <c r="B509">
        <v>1593</v>
      </c>
      <c r="C509">
        <v>1</v>
      </c>
      <c r="D509">
        <v>1</v>
      </c>
      <c r="E509" s="5" t="s">
        <v>128</v>
      </c>
      <c r="F509" s="5" t="s">
        <v>102</v>
      </c>
      <c r="G509" s="5" t="s">
        <v>99</v>
      </c>
      <c r="H509" s="5" t="s">
        <v>19</v>
      </c>
      <c r="I509" s="5"/>
      <c r="J509" s="5" t="s">
        <v>103</v>
      </c>
      <c r="K509" s="5"/>
      <c r="L509" s="5" t="s">
        <v>101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</row>
    <row r="510" spans="1:32" hidden="1" x14ac:dyDescent="0.2">
      <c r="A510">
        <v>14437</v>
      </c>
      <c r="B510">
        <v>2148</v>
      </c>
      <c r="C510">
        <v>1</v>
      </c>
      <c r="D510">
        <v>13</v>
      </c>
      <c r="E510" s="5" t="s">
        <v>128</v>
      </c>
      <c r="F510" s="5" t="s">
        <v>3</v>
      </c>
      <c r="G510" s="5" t="s">
        <v>99</v>
      </c>
      <c r="H510" s="5" t="s">
        <v>20</v>
      </c>
      <c r="I510" s="5"/>
      <c r="J510" s="5" t="s">
        <v>100</v>
      </c>
      <c r="K510" s="5"/>
      <c r="L510" s="5" t="s">
        <v>101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</row>
    <row r="511" spans="1:32" hidden="1" x14ac:dyDescent="0.2">
      <c r="A511">
        <v>14437</v>
      </c>
      <c r="B511">
        <v>1593</v>
      </c>
      <c r="C511">
        <v>1</v>
      </c>
      <c r="D511">
        <v>13</v>
      </c>
      <c r="E511" s="5" t="s">
        <v>128</v>
      </c>
      <c r="F511" s="5" t="s">
        <v>102</v>
      </c>
      <c r="G511" s="5" t="s">
        <v>99</v>
      </c>
      <c r="H511" s="5" t="s">
        <v>20</v>
      </c>
      <c r="I511" s="5"/>
      <c r="J511" s="5" t="s">
        <v>103</v>
      </c>
      <c r="K511" s="5"/>
      <c r="L511" s="5" t="s">
        <v>101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</row>
    <row r="512" spans="1:32" hidden="1" x14ac:dyDescent="0.2">
      <c r="A512">
        <v>14437</v>
      </c>
      <c r="B512">
        <v>2148</v>
      </c>
      <c r="C512">
        <v>1</v>
      </c>
      <c r="D512">
        <v>17</v>
      </c>
      <c r="E512" s="5" t="s">
        <v>128</v>
      </c>
      <c r="F512" s="5" t="s">
        <v>3</v>
      </c>
      <c r="G512" s="5" t="s">
        <v>99</v>
      </c>
      <c r="H512" s="5" t="s">
        <v>22</v>
      </c>
      <c r="I512" s="5"/>
      <c r="J512" s="5" t="s">
        <v>100</v>
      </c>
      <c r="K512" s="5"/>
      <c r="L512" s="5" t="s">
        <v>101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</row>
    <row r="513" spans="1:32" hidden="1" x14ac:dyDescent="0.2">
      <c r="A513">
        <v>14437</v>
      </c>
      <c r="B513">
        <v>1593</v>
      </c>
      <c r="C513">
        <v>1</v>
      </c>
      <c r="D513">
        <v>17</v>
      </c>
      <c r="E513" s="5" t="s">
        <v>128</v>
      </c>
      <c r="F513" s="5" t="s">
        <v>102</v>
      </c>
      <c r="G513" s="5" t="s">
        <v>99</v>
      </c>
      <c r="H513" s="5" t="s">
        <v>22</v>
      </c>
      <c r="I513" s="5"/>
      <c r="J513" s="5" t="s">
        <v>103</v>
      </c>
      <c r="K513" s="5"/>
      <c r="L513" s="5" t="s">
        <v>101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</row>
    <row r="514" spans="1:32" hidden="1" x14ac:dyDescent="0.2">
      <c r="A514">
        <v>14437</v>
      </c>
      <c r="B514">
        <v>2148</v>
      </c>
      <c r="C514">
        <v>1</v>
      </c>
      <c r="D514">
        <v>12</v>
      </c>
      <c r="E514" s="5" t="s">
        <v>128</v>
      </c>
      <c r="F514" s="5" t="s">
        <v>3</v>
      </c>
      <c r="G514" s="5" t="s">
        <v>99</v>
      </c>
      <c r="H514" s="5" t="s">
        <v>23</v>
      </c>
      <c r="I514" s="5"/>
      <c r="J514" s="5" t="s">
        <v>100</v>
      </c>
      <c r="K514" s="5"/>
      <c r="L514" s="5" t="s">
        <v>101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</row>
    <row r="515" spans="1:32" hidden="1" x14ac:dyDescent="0.2">
      <c r="A515">
        <v>14437</v>
      </c>
      <c r="B515">
        <v>1593</v>
      </c>
      <c r="C515">
        <v>1</v>
      </c>
      <c r="D515">
        <v>12</v>
      </c>
      <c r="E515" s="5" t="s">
        <v>128</v>
      </c>
      <c r="F515" s="5" t="s">
        <v>102</v>
      </c>
      <c r="G515" s="5" t="s">
        <v>99</v>
      </c>
      <c r="H515" s="5" t="s">
        <v>23</v>
      </c>
      <c r="I515" s="5"/>
      <c r="J515" s="5" t="s">
        <v>103</v>
      </c>
      <c r="K515" s="5"/>
      <c r="L515" s="5" t="s">
        <v>101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</row>
    <row r="516" spans="1:32" hidden="1" x14ac:dyDescent="0.2">
      <c r="A516">
        <v>14437</v>
      </c>
      <c r="B516">
        <v>2148</v>
      </c>
      <c r="C516">
        <v>1</v>
      </c>
      <c r="D516">
        <v>19</v>
      </c>
      <c r="E516" s="5" t="s">
        <v>128</v>
      </c>
      <c r="F516" s="5" t="s">
        <v>3</v>
      </c>
      <c r="G516" s="5" t="s">
        <v>99</v>
      </c>
      <c r="H516" s="5" t="s">
        <v>25</v>
      </c>
      <c r="I516" s="5"/>
      <c r="J516" s="5" t="s">
        <v>100</v>
      </c>
      <c r="K516" s="5"/>
      <c r="L516" s="5" t="s">
        <v>101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</row>
    <row r="517" spans="1:32" hidden="1" x14ac:dyDescent="0.2">
      <c r="A517">
        <v>14437</v>
      </c>
      <c r="B517">
        <v>1593</v>
      </c>
      <c r="C517">
        <v>1</v>
      </c>
      <c r="D517">
        <v>19</v>
      </c>
      <c r="E517" s="5" t="s">
        <v>128</v>
      </c>
      <c r="F517" s="5" t="s">
        <v>102</v>
      </c>
      <c r="G517" s="5" t="s">
        <v>99</v>
      </c>
      <c r="H517" s="5" t="s">
        <v>25</v>
      </c>
      <c r="I517" s="5"/>
      <c r="J517" s="5" t="s">
        <v>103</v>
      </c>
      <c r="K517" s="5"/>
      <c r="L517" s="5" t="s">
        <v>101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</row>
    <row r="518" spans="1:32" hidden="1" x14ac:dyDescent="0.2">
      <c r="A518">
        <v>14437</v>
      </c>
      <c r="B518">
        <v>2148</v>
      </c>
      <c r="C518">
        <v>1</v>
      </c>
      <c r="D518">
        <v>16</v>
      </c>
      <c r="E518" s="5" t="s">
        <v>128</v>
      </c>
      <c r="F518" s="5" t="s">
        <v>3</v>
      </c>
      <c r="G518" s="5" t="s">
        <v>99</v>
      </c>
      <c r="H518" s="5" t="s">
        <v>27</v>
      </c>
      <c r="I518" s="5"/>
      <c r="J518" s="5" t="s">
        <v>100</v>
      </c>
      <c r="K518" s="5"/>
      <c r="L518" s="5" t="s">
        <v>101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</row>
    <row r="519" spans="1:32" hidden="1" x14ac:dyDescent="0.2">
      <c r="A519">
        <v>14437</v>
      </c>
      <c r="B519">
        <v>1593</v>
      </c>
      <c r="C519">
        <v>1</v>
      </c>
      <c r="D519">
        <v>16</v>
      </c>
      <c r="E519" s="5" t="s">
        <v>128</v>
      </c>
      <c r="F519" s="5" t="s">
        <v>102</v>
      </c>
      <c r="G519" s="5" t="s">
        <v>99</v>
      </c>
      <c r="H519" s="5" t="s">
        <v>27</v>
      </c>
      <c r="I519" s="5"/>
      <c r="J519" s="5" t="s">
        <v>103</v>
      </c>
      <c r="K519" s="5"/>
      <c r="L519" s="5" t="s">
        <v>101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</row>
    <row r="520" spans="1:32" hidden="1" x14ac:dyDescent="0.2">
      <c r="A520">
        <v>14437</v>
      </c>
      <c r="B520">
        <v>2148</v>
      </c>
      <c r="C520">
        <v>1</v>
      </c>
      <c r="D520">
        <v>11</v>
      </c>
      <c r="E520" s="5" t="s">
        <v>128</v>
      </c>
      <c r="F520" s="5" t="s">
        <v>3</v>
      </c>
      <c r="G520" s="5" t="s">
        <v>99</v>
      </c>
      <c r="H520" s="5" t="s">
        <v>28</v>
      </c>
      <c r="I520" s="5"/>
      <c r="J520" s="5" t="s">
        <v>100</v>
      </c>
      <c r="K520" s="5"/>
      <c r="L520" s="5" t="s">
        <v>101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</row>
    <row r="521" spans="1:32" hidden="1" x14ac:dyDescent="0.2">
      <c r="A521">
        <v>14437</v>
      </c>
      <c r="B521">
        <v>1593</v>
      </c>
      <c r="C521">
        <v>1</v>
      </c>
      <c r="D521">
        <v>11</v>
      </c>
      <c r="E521" s="5" t="s">
        <v>128</v>
      </c>
      <c r="F521" s="5" t="s">
        <v>102</v>
      </c>
      <c r="G521" s="5" t="s">
        <v>99</v>
      </c>
      <c r="H521" s="5" t="s">
        <v>28</v>
      </c>
      <c r="I521" s="5"/>
      <c r="J521" s="5" t="s">
        <v>103</v>
      </c>
      <c r="K521" s="5"/>
      <c r="L521" s="5" t="s">
        <v>101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</row>
    <row r="522" spans="1:32" hidden="1" x14ac:dyDescent="0.2">
      <c r="A522">
        <v>14437</v>
      </c>
      <c r="B522">
        <v>2148</v>
      </c>
      <c r="C522">
        <v>1</v>
      </c>
      <c r="D522">
        <v>14</v>
      </c>
      <c r="E522" s="5" t="s">
        <v>128</v>
      </c>
      <c r="F522" s="5" t="s">
        <v>3</v>
      </c>
      <c r="G522" s="5" t="s">
        <v>99</v>
      </c>
      <c r="H522" s="5" t="s">
        <v>1</v>
      </c>
      <c r="I522" s="5"/>
      <c r="J522" s="5" t="s">
        <v>100</v>
      </c>
      <c r="K522" s="5"/>
      <c r="L522" s="5" t="s">
        <v>101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</row>
    <row r="523" spans="1:32" hidden="1" x14ac:dyDescent="0.2">
      <c r="A523">
        <v>14437</v>
      </c>
      <c r="B523">
        <v>1593</v>
      </c>
      <c r="C523">
        <v>1</v>
      </c>
      <c r="D523">
        <v>14</v>
      </c>
      <c r="E523" s="5" t="s">
        <v>128</v>
      </c>
      <c r="F523" s="5" t="s">
        <v>102</v>
      </c>
      <c r="G523" s="5" t="s">
        <v>99</v>
      </c>
      <c r="H523" s="5" t="s">
        <v>1</v>
      </c>
      <c r="I523" s="5"/>
      <c r="J523" s="5" t="s">
        <v>103</v>
      </c>
      <c r="K523" s="5"/>
      <c r="L523" s="5" t="s">
        <v>101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</row>
    <row r="524" spans="1:32" hidden="1" x14ac:dyDescent="0.2">
      <c r="A524">
        <v>2713</v>
      </c>
      <c r="B524">
        <v>2148</v>
      </c>
      <c r="C524">
        <v>1</v>
      </c>
      <c r="D524">
        <v>15</v>
      </c>
      <c r="E524" s="5" t="s">
        <v>129</v>
      </c>
      <c r="F524" s="5" t="s">
        <v>3</v>
      </c>
      <c r="G524" s="5" t="s">
        <v>99</v>
      </c>
      <c r="H524" s="5" t="s">
        <v>15</v>
      </c>
      <c r="I524" s="5"/>
      <c r="J524" s="5" t="s">
        <v>100</v>
      </c>
      <c r="K524" s="5"/>
      <c r="L524" s="5" t="s">
        <v>101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</row>
    <row r="525" spans="1:32" hidden="1" x14ac:dyDescent="0.2">
      <c r="A525">
        <v>2713</v>
      </c>
      <c r="B525">
        <v>1593</v>
      </c>
      <c r="C525">
        <v>1</v>
      </c>
      <c r="D525">
        <v>15</v>
      </c>
      <c r="E525" s="5" t="s">
        <v>129</v>
      </c>
      <c r="F525" s="5" t="s">
        <v>102</v>
      </c>
      <c r="G525" s="5" t="s">
        <v>99</v>
      </c>
      <c r="H525" s="5" t="s">
        <v>15</v>
      </c>
      <c r="I525" s="5"/>
      <c r="J525" s="5" t="s">
        <v>103</v>
      </c>
      <c r="K525" s="5"/>
      <c r="L525" s="5" t="s">
        <v>101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</row>
    <row r="526" spans="1:32" hidden="1" x14ac:dyDescent="0.2">
      <c r="A526">
        <v>2713</v>
      </c>
      <c r="B526">
        <v>2148</v>
      </c>
      <c r="C526">
        <v>1</v>
      </c>
      <c r="D526">
        <v>6</v>
      </c>
      <c r="E526" s="5" t="s">
        <v>129</v>
      </c>
      <c r="F526" s="5" t="s">
        <v>3</v>
      </c>
      <c r="G526" s="5" t="s">
        <v>99</v>
      </c>
      <c r="H526" s="5" t="s">
        <v>17</v>
      </c>
      <c r="I526" s="5"/>
      <c r="J526" s="5" t="s">
        <v>100</v>
      </c>
      <c r="K526" s="5"/>
      <c r="L526" s="5" t="s">
        <v>101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</row>
    <row r="527" spans="1:32" hidden="1" x14ac:dyDescent="0.2">
      <c r="A527">
        <v>2713</v>
      </c>
      <c r="B527">
        <v>1593</v>
      </c>
      <c r="C527">
        <v>1</v>
      </c>
      <c r="D527">
        <v>6</v>
      </c>
      <c r="E527" s="5" t="s">
        <v>129</v>
      </c>
      <c r="F527" s="5" t="s">
        <v>102</v>
      </c>
      <c r="G527" s="5" t="s">
        <v>99</v>
      </c>
      <c r="H527" s="5" t="s">
        <v>17</v>
      </c>
      <c r="I527" s="5"/>
      <c r="J527" s="5" t="s">
        <v>103</v>
      </c>
      <c r="K527" s="5"/>
      <c r="L527" s="5" t="s">
        <v>101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</row>
    <row r="528" spans="1:32" hidden="1" x14ac:dyDescent="0.2">
      <c r="A528">
        <v>2713</v>
      </c>
      <c r="B528">
        <v>2148</v>
      </c>
      <c r="C528">
        <v>1</v>
      </c>
      <c r="D528">
        <v>1</v>
      </c>
      <c r="E528" s="5" t="s">
        <v>129</v>
      </c>
      <c r="F528" s="5" t="s">
        <v>3</v>
      </c>
      <c r="G528" s="5" t="s">
        <v>99</v>
      </c>
      <c r="H528" s="5" t="s">
        <v>19</v>
      </c>
      <c r="I528" s="5"/>
      <c r="J528" s="5" t="s">
        <v>100</v>
      </c>
      <c r="K528" s="5"/>
      <c r="L528" s="5" t="s">
        <v>101</v>
      </c>
      <c r="M528" s="5">
        <v>0</v>
      </c>
      <c r="N528" s="5">
        <v>0</v>
      </c>
      <c r="O528" s="5">
        <v>0.02</v>
      </c>
      <c r="P528" s="5">
        <v>0.3</v>
      </c>
      <c r="Q528" s="5">
        <v>3.7</v>
      </c>
      <c r="R528" s="5">
        <v>3.63</v>
      </c>
      <c r="S528" s="5">
        <v>4.7</v>
      </c>
      <c r="T528" s="5">
        <v>4.5999999999999996</v>
      </c>
      <c r="U528" s="5">
        <v>0.1</v>
      </c>
      <c r="V528" s="5">
        <v>0</v>
      </c>
      <c r="W528" s="5">
        <v>3.7</v>
      </c>
      <c r="X528" s="5">
        <v>5.7</v>
      </c>
      <c r="Y528" s="5">
        <v>0</v>
      </c>
      <c r="Z528" s="5">
        <v>190</v>
      </c>
      <c r="AA528" s="5">
        <v>484</v>
      </c>
      <c r="AB528" s="5">
        <v>475</v>
      </c>
      <c r="AC528" s="5">
        <v>437</v>
      </c>
      <c r="AD528" s="5">
        <v>356</v>
      </c>
      <c r="AE528" s="5">
        <v>481</v>
      </c>
      <c r="AF528" s="5">
        <v>467</v>
      </c>
    </row>
    <row r="529" spans="1:32" x14ac:dyDescent="0.2">
      <c r="A529">
        <v>2713</v>
      </c>
      <c r="B529">
        <v>1593</v>
      </c>
      <c r="C529">
        <v>1</v>
      </c>
      <c r="D529">
        <v>1</v>
      </c>
      <c r="E529" s="5" t="s">
        <v>129</v>
      </c>
      <c r="F529" s="5" t="s">
        <v>102</v>
      </c>
      <c r="G529" s="5" t="s">
        <v>99</v>
      </c>
      <c r="H529" s="5" t="s">
        <v>19</v>
      </c>
      <c r="I529" s="5"/>
      <c r="J529" s="5" t="s">
        <v>103</v>
      </c>
      <c r="K529" s="5"/>
      <c r="L529" s="5" t="s">
        <v>101</v>
      </c>
      <c r="M529" s="5">
        <v>0</v>
      </c>
      <c r="N529" s="5">
        <v>0</v>
      </c>
      <c r="O529" s="5">
        <v>0.1</v>
      </c>
      <c r="P529" s="5">
        <v>0.26</v>
      </c>
      <c r="Q529" s="5">
        <v>1.06</v>
      </c>
      <c r="R529" s="5">
        <v>0.34</v>
      </c>
      <c r="S529" s="5">
        <v>0.93</v>
      </c>
      <c r="T529" s="5">
        <v>0.93</v>
      </c>
      <c r="U529" s="5">
        <v>0.63</v>
      </c>
      <c r="V529" s="5">
        <v>1.1200000000000001</v>
      </c>
      <c r="W529" s="5">
        <v>1.1200000000000001</v>
      </c>
      <c r="X529" s="5">
        <v>1.1200000000000001</v>
      </c>
      <c r="Y529" s="5">
        <v>1.1200000000000001</v>
      </c>
      <c r="Z529" s="5">
        <v>143.51</v>
      </c>
      <c r="AA529" s="5">
        <v>154.31</v>
      </c>
      <c r="AB529" s="5">
        <v>153.83000000000001</v>
      </c>
      <c r="AC529" s="5">
        <v>154.31</v>
      </c>
      <c r="AD529" s="5">
        <v>154.31</v>
      </c>
      <c r="AE529" s="5">
        <v>152.30000000000001</v>
      </c>
      <c r="AF529" s="5">
        <v>152.30000000000001</v>
      </c>
    </row>
    <row r="530" spans="1:32" hidden="1" x14ac:dyDescent="0.2">
      <c r="A530">
        <v>2713</v>
      </c>
      <c r="B530">
        <v>2148</v>
      </c>
      <c r="C530">
        <v>1</v>
      </c>
      <c r="D530">
        <v>13</v>
      </c>
      <c r="E530" s="5" t="s">
        <v>129</v>
      </c>
      <c r="F530" s="5" t="s">
        <v>3</v>
      </c>
      <c r="G530" s="5" t="s">
        <v>99</v>
      </c>
      <c r="H530" s="5" t="s">
        <v>20</v>
      </c>
      <c r="I530" s="5"/>
      <c r="J530" s="5" t="s">
        <v>100</v>
      </c>
      <c r="K530" s="5"/>
      <c r="L530" s="5" t="s">
        <v>101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</row>
    <row r="531" spans="1:32" hidden="1" x14ac:dyDescent="0.2">
      <c r="A531">
        <v>2713</v>
      </c>
      <c r="B531">
        <v>1593</v>
      </c>
      <c r="C531">
        <v>1</v>
      </c>
      <c r="D531">
        <v>13</v>
      </c>
      <c r="E531" s="5" t="s">
        <v>129</v>
      </c>
      <c r="F531" s="5" t="s">
        <v>102</v>
      </c>
      <c r="G531" s="5" t="s">
        <v>99</v>
      </c>
      <c r="H531" s="5" t="s">
        <v>20</v>
      </c>
      <c r="I531" s="5"/>
      <c r="J531" s="5" t="s">
        <v>103</v>
      </c>
      <c r="K531" s="5"/>
      <c r="L531" s="5" t="s">
        <v>101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</row>
    <row r="532" spans="1:32" hidden="1" x14ac:dyDescent="0.2">
      <c r="A532">
        <v>2713</v>
      </c>
      <c r="B532">
        <v>2148</v>
      </c>
      <c r="C532">
        <v>1</v>
      </c>
      <c r="D532">
        <v>17</v>
      </c>
      <c r="E532" s="5" t="s">
        <v>129</v>
      </c>
      <c r="F532" s="5" t="s">
        <v>3</v>
      </c>
      <c r="G532" s="5" t="s">
        <v>99</v>
      </c>
      <c r="H532" s="5" t="s">
        <v>22</v>
      </c>
      <c r="I532" s="5"/>
      <c r="J532" s="5" t="s">
        <v>100</v>
      </c>
      <c r="K532" s="5"/>
      <c r="L532" s="5" t="s">
        <v>101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</row>
    <row r="533" spans="1:32" hidden="1" x14ac:dyDescent="0.2">
      <c r="A533">
        <v>2713</v>
      </c>
      <c r="B533">
        <v>1593</v>
      </c>
      <c r="C533">
        <v>1</v>
      </c>
      <c r="D533">
        <v>17</v>
      </c>
      <c r="E533" s="5" t="s">
        <v>129</v>
      </c>
      <c r="F533" s="5" t="s">
        <v>102</v>
      </c>
      <c r="G533" s="5" t="s">
        <v>99</v>
      </c>
      <c r="H533" s="5" t="s">
        <v>22</v>
      </c>
      <c r="I533" s="5"/>
      <c r="J533" s="5" t="s">
        <v>103</v>
      </c>
      <c r="K533" s="5"/>
      <c r="L533" s="5" t="s">
        <v>101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</row>
    <row r="534" spans="1:32" hidden="1" x14ac:dyDescent="0.2">
      <c r="A534">
        <v>2713</v>
      </c>
      <c r="B534">
        <v>2148</v>
      </c>
      <c r="C534">
        <v>1</v>
      </c>
      <c r="D534">
        <v>12</v>
      </c>
      <c r="E534" s="5" t="s">
        <v>129</v>
      </c>
      <c r="F534" s="5" t="s">
        <v>3</v>
      </c>
      <c r="G534" s="5" t="s">
        <v>99</v>
      </c>
      <c r="H534" s="5" t="s">
        <v>23</v>
      </c>
      <c r="I534" s="5"/>
      <c r="J534" s="5" t="s">
        <v>100</v>
      </c>
      <c r="K534" s="5"/>
      <c r="L534" s="5" t="s">
        <v>101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0.02</v>
      </c>
      <c r="S534" s="5">
        <v>0.02</v>
      </c>
      <c r="T534" s="5">
        <v>0.02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</row>
    <row r="535" spans="1:32" hidden="1" x14ac:dyDescent="0.2">
      <c r="A535">
        <v>2713</v>
      </c>
      <c r="B535">
        <v>1593</v>
      </c>
      <c r="C535">
        <v>1</v>
      </c>
      <c r="D535">
        <v>12</v>
      </c>
      <c r="E535" s="5" t="s">
        <v>129</v>
      </c>
      <c r="F535" s="5" t="s">
        <v>102</v>
      </c>
      <c r="G535" s="5" t="s">
        <v>99</v>
      </c>
      <c r="H535" s="5" t="s">
        <v>23</v>
      </c>
      <c r="I535" s="5"/>
      <c r="J535" s="5" t="s">
        <v>103</v>
      </c>
      <c r="K535" s="5"/>
      <c r="L535" s="5" t="s">
        <v>101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0.02</v>
      </c>
      <c r="S535" s="5">
        <v>0.02</v>
      </c>
      <c r="T535" s="5">
        <v>0.02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</row>
    <row r="536" spans="1:32" hidden="1" x14ac:dyDescent="0.2">
      <c r="A536">
        <v>2713</v>
      </c>
      <c r="B536">
        <v>2148</v>
      </c>
      <c r="C536">
        <v>1</v>
      </c>
      <c r="D536">
        <v>19</v>
      </c>
      <c r="E536" s="5" t="s">
        <v>129</v>
      </c>
      <c r="F536" s="5" t="s">
        <v>3</v>
      </c>
      <c r="G536" s="5" t="s">
        <v>99</v>
      </c>
      <c r="H536" s="5" t="s">
        <v>25</v>
      </c>
      <c r="I536" s="5"/>
      <c r="J536" s="5" t="s">
        <v>100</v>
      </c>
      <c r="K536" s="5"/>
      <c r="L536" s="5" t="s">
        <v>101</v>
      </c>
      <c r="M536" s="5">
        <v>17.5</v>
      </c>
      <c r="N536" s="5">
        <v>53.2</v>
      </c>
      <c r="O536" s="5">
        <v>57.8</v>
      </c>
      <c r="P536" s="5">
        <v>61.4</v>
      </c>
      <c r="Q536" s="5">
        <v>64.400000000000006</v>
      </c>
      <c r="R536" s="5">
        <v>61.7</v>
      </c>
      <c r="S536" s="5">
        <v>88.2</v>
      </c>
      <c r="T536" s="5">
        <v>75.3</v>
      </c>
      <c r="U536" s="5">
        <v>65.7</v>
      </c>
      <c r="V536" s="5">
        <v>152.1</v>
      </c>
      <c r="W536" s="5">
        <v>748.4</v>
      </c>
      <c r="X536" s="5">
        <v>975.2</v>
      </c>
      <c r="Y536" s="5">
        <v>1093.5999999999999</v>
      </c>
      <c r="Z536" s="5">
        <v>1152.92</v>
      </c>
      <c r="AA536" s="5">
        <v>1041.6600000000001</v>
      </c>
      <c r="AB536" s="5">
        <v>1026.45</v>
      </c>
      <c r="AC536" s="5">
        <v>1269.6600000000001</v>
      </c>
      <c r="AD536" s="5">
        <v>1029.8699999999999</v>
      </c>
      <c r="AE536" s="5">
        <v>1308.1400000000001</v>
      </c>
      <c r="AF536" s="5">
        <v>1238.67</v>
      </c>
    </row>
    <row r="537" spans="1:32" hidden="1" x14ac:dyDescent="0.2">
      <c r="A537">
        <v>2713</v>
      </c>
      <c r="B537">
        <v>1593</v>
      </c>
      <c r="C537">
        <v>1</v>
      </c>
      <c r="D537">
        <v>19</v>
      </c>
      <c r="E537" s="5" t="s">
        <v>129</v>
      </c>
      <c r="F537" s="5" t="s">
        <v>102</v>
      </c>
      <c r="G537" s="5" t="s">
        <v>99</v>
      </c>
      <c r="H537" s="5" t="s">
        <v>25</v>
      </c>
      <c r="I537" s="5"/>
      <c r="J537" s="5" t="s">
        <v>103</v>
      </c>
      <c r="K537" s="5"/>
      <c r="L537" s="5" t="s">
        <v>101</v>
      </c>
      <c r="M537" s="5">
        <v>25</v>
      </c>
      <c r="N537" s="5">
        <v>25</v>
      </c>
      <c r="O537" s="5">
        <v>25</v>
      </c>
      <c r="P537" s="5">
        <v>33</v>
      </c>
      <c r="Q537" s="5">
        <v>33</v>
      </c>
      <c r="R537" s="5">
        <v>33</v>
      </c>
      <c r="S537" s="5">
        <v>33</v>
      </c>
      <c r="T537" s="5">
        <v>33</v>
      </c>
      <c r="U537" s="5">
        <v>33</v>
      </c>
      <c r="V537" s="5">
        <v>282.89999999999998</v>
      </c>
      <c r="W537" s="5">
        <v>426.9</v>
      </c>
      <c r="X537" s="5">
        <v>426.9</v>
      </c>
      <c r="Y537" s="5">
        <v>426.9</v>
      </c>
      <c r="Z537" s="5">
        <v>426.9</v>
      </c>
      <c r="AA537" s="5">
        <v>426.9</v>
      </c>
      <c r="AB537" s="5">
        <v>442.9</v>
      </c>
      <c r="AC537" s="5">
        <v>442.9</v>
      </c>
      <c r="AD537" s="5">
        <v>443</v>
      </c>
      <c r="AE537" s="5">
        <v>443</v>
      </c>
      <c r="AF537" s="5">
        <v>443</v>
      </c>
    </row>
    <row r="538" spans="1:32" hidden="1" x14ac:dyDescent="0.2">
      <c r="A538">
        <v>2713</v>
      </c>
      <c r="B538">
        <v>2148</v>
      </c>
      <c r="C538">
        <v>1</v>
      </c>
      <c r="D538">
        <v>16</v>
      </c>
      <c r="E538" s="5" t="s">
        <v>129</v>
      </c>
      <c r="F538" s="5" t="s">
        <v>3</v>
      </c>
      <c r="G538" s="5" t="s">
        <v>99</v>
      </c>
      <c r="H538" s="5" t="s">
        <v>27</v>
      </c>
      <c r="I538" s="5"/>
      <c r="J538" s="5" t="s">
        <v>100</v>
      </c>
      <c r="K538" s="5"/>
      <c r="L538" s="5" t="s">
        <v>101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</row>
    <row r="539" spans="1:32" hidden="1" x14ac:dyDescent="0.2">
      <c r="A539">
        <v>2713</v>
      </c>
      <c r="B539">
        <v>1593</v>
      </c>
      <c r="C539">
        <v>1</v>
      </c>
      <c r="D539">
        <v>16</v>
      </c>
      <c r="E539" s="5" t="s">
        <v>129</v>
      </c>
      <c r="F539" s="5" t="s">
        <v>102</v>
      </c>
      <c r="G539" s="5" t="s">
        <v>99</v>
      </c>
      <c r="H539" s="5" t="s">
        <v>27</v>
      </c>
      <c r="I539" s="5"/>
      <c r="J539" s="5" t="s">
        <v>103</v>
      </c>
      <c r="K539" s="5"/>
      <c r="L539" s="5" t="s">
        <v>101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</row>
    <row r="540" spans="1:32" hidden="1" x14ac:dyDescent="0.2">
      <c r="A540">
        <v>2713</v>
      </c>
      <c r="B540">
        <v>2148</v>
      </c>
      <c r="C540">
        <v>1</v>
      </c>
      <c r="D540">
        <v>11</v>
      </c>
      <c r="E540" s="5" t="s">
        <v>129</v>
      </c>
      <c r="F540" s="5" t="s">
        <v>3</v>
      </c>
      <c r="G540" s="5" t="s">
        <v>99</v>
      </c>
      <c r="H540" s="5" t="s">
        <v>28</v>
      </c>
      <c r="I540" s="5"/>
      <c r="J540" s="5" t="s">
        <v>100</v>
      </c>
      <c r="K540" s="5"/>
      <c r="L540" s="5" t="s">
        <v>101</v>
      </c>
      <c r="M540" s="5">
        <v>0</v>
      </c>
      <c r="N540" s="5">
        <v>0</v>
      </c>
      <c r="O540" s="5">
        <v>0</v>
      </c>
      <c r="P540" s="5">
        <v>0</v>
      </c>
      <c r="Q540" s="5">
        <v>1</v>
      </c>
      <c r="R540" s="5">
        <v>2</v>
      </c>
      <c r="S540" s="5">
        <v>5</v>
      </c>
      <c r="T540" s="5">
        <v>17</v>
      </c>
      <c r="U540" s="5">
        <v>351.3</v>
      </c>
      <c r="V540" s="5">
        <v>406</v>
      </c>
      <c r="W540" s="5">
        <v>359.6</v>
      </c>
      <c r="X540" s="5">
        <v>349.7</v>
      </c>
      <c r="Y540" s="5">
        <v>1109.9000000000001</v>
      </c>
      <c r="Z540" s="5">
        <v>1109.9000000000001</v>
      </c>
      <c r="AA540" s="5">
        <v>1109.9000000000001</v>
      </c>
      <c r="AB540" s="5">
        <v>3118.34</v>
      </c>
      <c r="AC540" s="5">
        <v>3409.77</v>
      </c>
      <c r="AD540" s="5">
        <v>2957.92</v>
      </c>
      <c r="AE540" s="5">
        <v>3610</v>
      </c>
      <c r="AF540" s="5">
        <v>3670</v>
      </c>
    </row>
    <row r="541" spans="1:32" hidden="1" x14ac:dyDescent="0.2">
      <c r="A541">
        <v>2713</v>
      </c>
      <c r="B541">
        <v>1593</v>
      </c>
      <c r="C541">
        <v>1</v>
      </c>
      <c r="D541">
        <v>11</v>
      </c>
      <c r="E541" s="5" t="s">
        <v>129</v>
      </c>
      <c r="F541" s="5" t="s">
        <v>102</v>
      </c>
      <c r="G541" s="5" t="s">
        <v>99</v>
      </c>
      <c r="H541" s="5" t="s">
        <v>28</v>
      </c>
      <c r="I541" s="5"/>
      <c r="J541" s="5" t="s">
        <v>103</v>
      </c>
      <c r="K541" s="5"/>
      <c r="L541" s="5" t="s">
        <v>101</v>
      </c>
      <c r="M541" s="5">
        <v>0</v>
      </c>
      <c r="N541" s="5">
        <v>0</v>
      </c>
      <c r="O541" s="5">
        <v>0</v>
      </c>
      <c r="P541" s="5">
        <v>0</v>
      </c>
      <c r="Q541" s="5">
        <v>2.5</v>
      </c>
      <c r="R541" s="5">
        <v>3.3</v>
      </c>
      <c r="S541" s="5">
        <v>5</v>
      </c>
      <c r="T541" s="5">
        <v>95</v>
      </c>
      <c r="U541" s="5">
        <v>185</v>
      </c>
      <c r="V541" s="5">
        <v>224.47</v>
      </c>
      <c r="W541" s="5">
        <v>233.9</v>
      </c>
      <c r="X541" s="5">
        <v>497</v>
      </c>
      <c r="Y541" s="5">
        <v>627.82000000000005</v>
      </c>
      <c r="Z541" s="5">
        <v>1082</v>
      </c>
      <c r="AA541" s="5">
        <v>1486</v>
      </c>
      <c r="AB541" s="5">
        <v>1488.06</v>
      </c>
      <c r="AC541" s="5">
        <v>1504.06</v>
      </c>
      <c r="AD541" s="5">
        <v>1504.01</v>
      </c>
      <c r="AE541" s="5">
        <v>1540</v>
      </c>
      <c r="AF541" s="5">
        <v>1540</v>
      </c>
    </row>
    <row r="542" spans="1:32" hidden="1" x14ac:dyDescent="0.2">
      <c r="A542">
        <v>2713</v>
      </c>
      <c r="B542">
        <v>2148</v>
      </c>
      <c r="C542">
        <v>1</v>
      </c>
      <c r="D542">
        <v>14</v>
      </c>
      <c r="E542" s="5" t="s">
        <v>129</v>
      </c>
      <c r="F542" s="5" t="s">
        <v>3</v>
      </c>
      <c r="G542" s="5" t="s">
        <v>99</v>
      </c>
      <c r="H542" s="5" t="s">
        <v>1</v>
      </c>
      <c r="I542" s="5"/>
      <c r="J542" s="5" t="s">
        <v>100</v>
      </c>
      <c r="K542" s="5"/>
      <c r="L542" s="5" t="s">
        <v>101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37</v>
      </c>
      <c r="U542" s="5">
        <v>62</v>
      </c>
      <c r="V542" s="5">
        <v>81</v>
      </c>
      <c r="W542" s="5">
        <v>121</v>
      </c>
      <c r="X542" s="5">
        <v>201</v>
      </c>
      <c r="Y542" s="5">
        <v>348</v>
      </c>
      <c r="Z542" s="5">
        <v>487</v>
      </c>
      <c r="AA542" s="5">
        <v>724</v>
      </c>
      <c r="AB542" s="5">
        <v>982</v>
      </c>
      <c r="AC542" s="5">
        <v>3349</v>
      </c>
      <c r="AD542" s="5">
        <v>9090</v>
      </c>
      <c r="AE542" s="5">
        <v>11583</v>
      </c>
      <c r="AF542" s="5">
        <v>12747</v>
      </c>
    </row>
    <row r="543" spans="1:32" hidden="1" x14ac:dyDescent="0.2">
      <c r="A543">
        <v>2713</v>
      </c>
      <c r="B543">
        <v>1593</v>
      </c>
      <c r="C543">
        <v>1</v>
      </c>
      <c r="D543">
        <v>14</v>
      </c>
      <c r="E543" s="5" t="s">
        <v>129</v>
      </c>
      <c r="F543" s="5" t="s">
        <v>102</v>
      </c>
      <c r="G543" s="5" t="s">
        <v>99</v>
      </c>
      <c r="H543" s="5" t="s">
        <v>1</v>
      </c>
      <c r="I543" s="5"/>
      <c r="J543" s="5" t="s">
        <v>103</v>
      </c>
      <c r="K543" s="5"/>
      <c r="L543" s="5" t="s">
        <v>101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30</v>
      </c>
      <c r="T543" s="5">
        <v>30</v>
      </c>
      <c r="U543" s="5">
        <v>46</v>
      </c>
      <c r="V543" s="5">
        <v>46</v>
      </c>
      <c r="W543" s="5">
        <v>46</v>
      </c>
      <c r="X543" s="5">
        <v>153.19999999999999</v>
      </c>
      <c r="Y543" s="5">
        <v>189.2</v>
      </c>
      <c r="Z543" s="5">
        <v>243</v>
      </c>
      <c r="AA543" s="5">
        <v>521</v>
      </c>
      <c r="AB543" s="5">
        <v>582</v>
      </c>
      <c r="AC543" s="5">
        <v>4126</v>
      </c>
      <c r="AD543" s="5">
        <v>5059</v>
      </c>
      <c r="AE543" s="5">
        <v>5869</v>
      </c>
      <c r="AF543" s="5">
        <v>5991</v>
      </c>
    </row>
    <row r="544" spans="1:32" hidden="1" x14ac:dyDescent="0.2">
      <c r="A544">
        <v>14442</v>
      </c>
      <c r="B544">
        <v>2148</v>
      </c>
      <c r="C544">
        <v>1</v>
      </c>
      <c r="D544">
        <v>15</v>
      </c>
      <c r="E544" s="5" t="s">
        <v>130</v>
      </c>
      <c r="F544" s="5" t="s">
        <v>3</v>
      </c>
      <c r="G544" s="5" t="s">
        <v>99</v>
      </c>
      <c r="H544" s="5" t="s">
        <v>15</v>
      </c>
      <c r="I544" s="5"/>
      <c r="J544" s="5" t="s">
        <v>100</v>
      </c>
      <c r="K544" s="5"/>
      <c r="L544" s="5" t="s">
        <v>101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</row>
    <row r="545" spans="1:32" hidden="1" x14ac:dyDescent="0.2">
      <c r="A545">
        <v>14442</v>
      </c>
      <c r="B545">
        <v>1593</v>
      </c>
      <c r="C545">
        <v>1</v>
      </c>
      <c r="D545">
        <v>15</v>
      </c>
      <c r="E545" s="5" t="s">
        <v>130</v>
      </c>
      <c r="F545" s="5" t="s">
        <v>102</v>
      </c>
      <c r="G545" s="5" t="s">
        <v>99</v>
      </c>
      <c r="H545" s="5" t="s">
        <v>15</v>
      </c>
      <c r="I545" s="5"/>
      <c r="J545" s="5" t="s">
        <v>103</v>
      </c>
      <c r="K545" s="5"/>
      <c r="L545" s="5" t="s">
        <v>101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</row>
    <row r="546" spans="1:32" hidden="1" x14ac:dyDescent="0.2">
      <c r="A546">
        <v>14442</v>
      </c>
      <c r="B546">
        <v>2148</v>
      </c>
      <c r="C546">
        <v>1</v>
      </c>
      <c r="D546">
        <v>6</v>
      </c>
      <c r="E546" s="5" t="s">
        <v>130</v>
      </c>
      <c r="F546" s="5" t="s">
        <v>3</v>
      </c>
      <c r="G546" s="5" t="s">
        <v>99</v>
      </c>
      <c r="H546" s="5" t="s">
        <v>17</v>
      </c>
      <c r="I546" s="5"/>
      <c r="J546" s="5" t="s">
        <v>100</v>
      </c>
      <c r="K546" s="5"/>
      <c r="L546" s="5" t="s">
        <v>101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</row>
    <row r="547" spans="1:32" hidden="1" x14ac:dyDescent="0.2">
      <c r="A547">
        <v>14442</v>
      </c>
      <c r="B547">
        <v>1593</v>
      </c>
      <c r="C547">
        <v>1</v>
      </c>
      <c r="D547">
        <v>6</v>
      </c>
      <c r="E547" s="5" t="s">
        <v>130</v>
      </c>
      <c r="F547" s="5" t="s">
        <v>102</v>
      </c>
      <c r="G547" s="5" t="s">
        <v>99</v>
      </c>
      <c r="H547" s="5" t="s">
        <v>17</v>
      </c>
      <c r="I547" s="5"/>
      <c r="J547" s="5" t="s">
        <v>103</v>
      </c>
      <c r="K547" s="5"/>
      <c r="L547" s="5" t="s">
        <v>101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</row>
    <row r="548" spans="1:32" hidden="1" x14ac:dyDescent="0.2">
      <c r="A548">
        <v>14442</v>
      </c>
      <c r="B548">
        <v>2148</v>
      </c>
      <c r="C548">
        <v>1</v>
      </c>
      <c r="D548">
        <v>1</v>
      </c>
      <c r="E548" s="5" t="s">
        <v>130</v>
      </c>
      <c r="F548" s="5" t="s">
        <v>3</v>
      </c>
      <c r="G548" s="5" t="s">
        <v>99</v>
      </c>
      <c r="H548" s="5" t="s">
        <v>19</v>
      </c>
      <c r="I548" s="5"/>
      <c r="J548" s="5" t="s">
        <v>100</v>
      </c>
      <c r="K548" s="5"/>
      <c r="L548" s="5" t="s">
        <v>101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</row>
    <row r="549" spans="1:32" x14ac:dyDescent="0.2">
      <c r="A549">
        <v>14442</v>
      </c>
      <c r="B549">
        <v>1593</v>
      </c>
      <c r="C549">
        <v>1</v>
      </c>
      <c r="D549">
        <v>1</v>
      </c>
      <c r="E549" s="5" t="s">
        <v>130</v>
      </c>
      <c r="F549" s="5" t="s">
        <v>102</v>
      </c>
      <c r="G549" s="5" t="s">
        <v>99</v>
      </c>
      <c r="H549" s="5" t="s">
        <v>19</v>
      </c>
      <c r="I549" s="5"/>
      <c r="J549" s="5" t="s">
        <v>103</v>
      </c>
      <c r="K549" s="5"/>
      <c r="L549" s="5" t="s">
        <v>101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</row>
    <row r="550" spans="1:32" hidden="1" x14ac:dyDescent="0.2">
      <c r="A550">
        <v>14442</v>
      </c>
      <c r="B550">
        <v>2148</v>
      </c>
      <c r="C550">
        <v>1</v>
      </c>
      <c r="D550">
        <v>13</v>
      </c>
      <c r="E550" s="5" t="s">
        <v>130</v>
      </c>
      <c r="F550" s="5" t="s">
        <v>3</v>
      </c>
      <c r="G550" s="5" t="s">
        <v>99</v>
      </c>
      <c r="H550" s="5" t="s">
        <v>20</v>
      </c>
      <c r="I550" s="5"/>
      <c r="J550" s="5" t="s">
        <v>100</v>
      </c>
      <c r="K550" s="5"/>
      <c r="L550" s="5" t="s">
        <v>101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</row>
    <row r="551" spans="1:32" hidden="1" x14ac:dyDescent="0.2">
      <c r="A551">
        <v>14442</v>
      </c>
      <c r="B551">
        <v>1593</v>
      </c>
      <c r="C551">
        <v>1</v>
      </c>
      <c r="D551">
        <v>13</v>
      </c>
      <c r="E551" s="5" t="s">
        <v>130</v>
      </c>
      <c r="F551" s="5" t="s">
        <v>102</v>
      </c>
      <c r="G551" s="5" t="s">
        <v>99</v>
      </c>
      <c r="H551" s="5" t="s">
        <v>20</v>
      </c>
      <c r="I551" s="5"/>
      <c r="J551" s="5" t="s">
        <v>103</v>
      </c>
      <c r="K551" s="5"/>
      <c r="L551" s="5" t="s">
        <v>101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</row>
    <row r="552" spans="1:32" hidden="1" x14ac:dyDescent="0.2">
      <c r="A552">
        <v>14442</v>
      </c>
      <c r="B552">
        <v>2148</v>
      </c>
      <c r="C552">
        <v>1</v>
      </c>
      <c r="D552">
        <v>17</v>
      </c>
      <c r="E552" s="5" t="s">
        <v>130</v>
      </c>
      <c r="F552" s="5" t="s">
        <v>3</v>
      </c>
      <c r="G552" s="5" t="s">
        <v>99</v>
      </c>
      <c r="H552" s="5" t="s">
        <v>22</v>
      </c>
      <c r="I552" s="5"/>
      <c r="J552" s="5" t="s">
        <v>100</v>
      </c>
      <c r="K552" s="5"/>
      <c r="L552" s="5" t="s">
        <v>101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</row>
    <row r="553" spans="1:32" hidden="1" x14ac:dyDescent="0.2">
      <c r="A553">
        <v>14442</v>
      </c>
      <c r="B553">
        <v>1593</v>
      </c>
      <c r="C553">
        <v>1</v>
      </c>
      <c r="D553">
        <v>17</v>
      </c>
      <c r="E553" s="5" t="s">
        <v>130</v>
      </c>
      <c r="F553" s="5" t="s">
        <v>102</v>
      </c>
      <c r="G553" s="5" t="s">
        <v>99</v>
      </c>
      <c r="H553" s="5" t="s">
        <v>22</v>
      </c>
      <c r="I553" s="5"/>
      <c r="J553" s="5" t="s">
        <v>103</v>
      </c>
      <c r="K553" s="5"/>
      <c r="L553" s="5" t="s">
        <v>101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</row>
    <row r="554" spans="1:32" hidden="1" x14ac:dyDescent="0.2">
      <c r="A554">
        <v>14442</v>
      </c>
      <c r="B554">
        <v>2148</v>
      </c>
      <c r="C554">
        <v>1</v>
      </c>
      <c r="D554">
        <v>12</v>
      </c>
      <c r="E554" s="5" t="s">
        <v>130</v>
      </c>
      <c r="F554" s="5" t="s">
        <v>3</v>
      </c>
      <c r="G554" s="5" t="s">
        <v>99</v>
      </c>
      <c r="H554" s="5" t="s">
        <v>23</v>
      </c>
      <c r="I554" s="5"/>
      <c r="J554" s="5" t="s">
        <v>100</v>
      </c>
      <c r="K554" s="5"/>
      <c r="L554" s="5" t="s">
        <v>101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</row>
    <row r="555" spans="1:32" hidden="1" x14ac:dyDescent="0.2">
      <c r="A555">
        <v>14442</v>
      </c>
      <c r="B555">
        <v>1593</v>
      </c>
      <c r="C555">
        <v>1</v>
      </c>
      <c r="D555">
        <v>12</v>
      </c>
      <c r="E555" s="5" t="s">
        <v>130</v>
      </c>
      <c r="F555" s="5" t="s">
        <v>102</v>
      </c>
      <c r="G555" s="5" t="s">
        <v>99</v>
      </c>
      <c r="H555" s="5" t="s">
        <v>23</v>
      </c>
      <c r="I555" s="5"/>
      <c r="J555" s="5" t="s">
        <v>103</v>
      </c>
      <c r="K555" s="5"/>
      <c r="L555" s="5" t="s">
        <v>101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</row>
    <row r="556" spans="1:32" hidden="1" x14ac:dyDescent="0.2">
      <c r="A556">
        <v>14442</v>
      </c>
      <c r="B556">
        <v>2148</v>
      </c>
      <c r="C556">
        <v>1</v>
      </c>
      <c r="D556">
        <v>19</v>
      </c>
      <c r="E556" s="5" t="s">
        <v>130</v>
      </c>
      <c r="F556" s="5" t="s">
        <v>3</v>
      </c>
      <c r="G556" s="5" t="s">
        <v>99</v>
      </c>
      <c r="H556" s="5" t="s">
        <v>25</v>
      </c>
      <c r="I556" s="5"/>
      <c r="J556" s="5" t="s">
        <v>100</v>
      </c>
      <c r="K556" s="5"/>
      <c r="L556" s="5" t="s">
        <v>101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</row>
    <row r="557" spans="1:32" hidden="1" x14ac:dyDescent="0.2">
      <c r="A557">
        <v>14442</v>
      </c>
      <c r="B557">
        <v>1593</v>
      </c>
      <c r="C557">
        <v>1</v>
      </c>
      <c r="D557">
        <v>19</v>
      </c>
      <c r="E557" s="5" t="s">
        <v>130</v>
      </c>
      <c r="F557" s="5" t="s">
        <v>102</v>
      </c>
      <c r="G557" s="5" t="s">
        <v>99</v>
      </c>
      <c r="H557" s="5" t="s">
        <v>25</v>
      </c>
      <c r="I557" s="5"/>
      <c r="J557" s="5" t="s">
        <v>103</v>
      </c>
      <c r="K557" s="5"/>
      <c r="L557" s="5" t="s">
        <v>101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</row>
    <row r="558" spans="1:32" hidden="1" x14ac:dyDescent="0.2">
      <c r="A558">
        <v>14442</v>
      </c>
      <c r="B558">
        <v>2148</v>
      </c>
      <c r="C558">
        <v>1</v>
      </c>
      <c r="D558">
        <v>16</v>
      </c>
      <c r="E558" s="5" t="s">
        <v>130</v>
      </c>
      <c r="F558" s="5" t="s">
        <v>3</v>
      </c>
      <c r="G558" s="5" t="s">
        <v>99</v>
      </c>
      <c r="H558" s="5" t="s">
        <v>27</v>
      </c>
      <c r="I558" s="5"/>
      <c r="J558" s="5" t="s">
        <v>100</v>
      </c>
      <c r="K558" s="5"/>
      <c r="L558" s="5" t="s">
        <v>101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</row>
    <row r="559" spans="1:32" hidden="1" x14ac:dyDescent="0.2">
      <c r="A559">
        <v>14442</v>
      </c>
      <c r="B559">
        <v>1593</v>
      </c>
      <c r="C559">
        <v>1</v>
      </c>
      <c r="D559">
        <v>16</v>
      </c>
      <c r="E559" s="5" t="s">
        <v>130</v>
      </c>
      <c r="F559" s="5" t="s">
        <v>102</v>
      </c>
      <c r="G559" s="5" t="s">
        <v>99</v>
      </c>
      <c r="H559" s="5" t="s">
        <v>27</v>
      </c>
      <c r="I559" s="5"/>
      <c r="J559" s="5" t="s">
        <v>103</v>
      </c>
      <c r="K559" s="5"/>
      <c r="L559" s="5" t="s">
        <v>101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</row>
    <row r="560" spans="1:32" hidden="1" x14ac:dyDescent="0.2">
      <c r="A560">
        <v>14442</v>
      </c>
      <c r="B560">
        <v>2148</v>
      </c>
      <c r="C560">
        <v>1</v>
      </c>
      <c r="D560">
        <v>11</v>
      </c>
      <c r="E560" s="5" t="s">
        <v>130</v>
      </c>
      <c r="F560" s="5" t="s">
        <v>3</v>
      </c>
      <c r="G560" s="5" t="s">
        <v>99</v>
      </c>
      <c r="H560" s="5" t="s">
        <v>28</v>
      </c>
      <c r="I560" s="5"/>
      <c r="J560" s="5" t="s">
        <v>100</v>
      </c>
      <c r="K560" s="5"/>
      <c r="L560" s="5" t="s">
        <v>101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</row>
    <row r="561" spans="1:32" hidden="1" x14ac:dyDescent="0.2">
      <c r="A561">
        <v>14442</v>
      </c>
      <c r="B561">
        <v>1593</v>
      </c>
      <c r="C561">
        <v>1</v>
      </c>
      <c r="D561">
        <v>11</v>
      </c>
      <c r="E561" s="5" t="s">
        <v>130</v>
      </c>
      <c r="F561" s="5" t="s">
        <v>102</v>
      </c>
      <c r="G561" s="5" t="s">
        <v>99</v>
      </c>
      <c r="H561" s="5" t="s">
        <v>28</v>
      </c>
      <c r="I561" s="5"/>
      <c r="J561" s="5" t="s">
        <v>103</v>
      </c>
      <c r="K561" s="5"/>
      <c r="L561" s="5" t="s">
        <v>101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</row>
    <row r="562" spans="1:32" hidden="1" x14ac:dyDescent="0.2">
      <c r="A562">
        <v>14442</v>
      </c>
      <c r="B562">
        <v>2148</v>
      </c>
      <c r="C562">
        <v>1</v>
      </c>
      <c r="D562">
        <v>14</v>
      </c>
      <c r="E562" s="5" t="s">
        <v>130</v>
      </c>
      <c r="F562" s="5" t="s">
        <v>3</v>
      </c>
      <c r="G562" s="5" t="s">
        <v>99</v>
      </c>
      <c r="H562" s="5" t="s">
        <v>1</v>
      </c>
      <c r="I562" s="5"/>
      <c r="J562" s="5" t="s">
        <v>100</v>
      </c>
      <c r="K562" s="5"/>
      <c r="L562" s="5" t="s">
        <v>101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</row>
    <row r="563" spans="1:32" hidden="1" x14ac:dyDescent="0.2">
      <c r="A563">
        <v>14442</v>
      </c>
      <c r="B563">
        <v>1593</v>
      </c>
      <c r="C563">
        <v>1</v>
      </c>
      <c r="D563">
        <v>14</v>
      </c>
      <c r="E563" s="5" t="s">
        <v>130</v>
      </c>
      <c r="F563" s="5" t="s">
        <v>102</v>
      </c>
      <c r="G563" s="5" t="s">
        <v>99</v>
      </c>
      <c r="H563" s="5" t="s">
        <v>1</v>
      </c>
      <c r="I563" s="5"/>
      <c r="J563" s="5" t="s">
        <v>103</v>
      </c>
      <c r="K563" s="5"/>
      <c r="L563" s="5" t="s">
        <v>101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</row>
    <row r="564" spans="1:32" hidden="1" x14ac:dyDescent="0.2">
      <c r="A564">
        <v>2956</v>
      </c>
      <c r="B564">
        <v>2148</v>
      </c>
      <c r="C564">
        <v>1</v>
      </c>
      <c r="D564">
        <v>15</v>
      </c>
      <c r="E564" s="5" t="s">
        <v>131</v>
      </c>
      <c r="F564" s="5" t="s">
        <v>3</v>
      </c>
      <c r="G564" s="5" t="s">
        <v>99</v>
      </c>
      <c r="H564" s="5" t="s">
        <v>15</v>
      </c>
      <c r="I564" s="5"/>
      <c r="J564" s="5" t="s">
        <v>100</v>
      </c>
      <c r="K564" s="5"/>
      <c r="L564" s="5" t="s">
        <v>101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</row>
    <row r="565" spans="1:32" hidden="1" x14ac:dyDescent="0.2">
      <c r="A565">
        <v>2956</v>
      </c>
      <c r="B565">
        <v>1593</v>
      </c>
      <c r="C565">
        <v>1</v>
      </c>
      <c r="D565">
        <v>15</v>
      </c>
      <c r="E565" s="5" t="s">
        <v>131</v>
      </c>
      <c r="F565" s="5" t="s">
        <v>102</v>
      </c>
      <c r="G565" s="5" t="s">
        <v>99</v>
      </c>
      <c r="H565" s="5" t="s">
        <v>15</v>
      </c>
      <c r="I565" s="5"/>
      <c r="J565" s="5" t="s">
        <v>103</v>
      </c>
      <c r="K565" s="5"/>
      <c r="L565" s="5" t="s">
        <v>101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</row>
    <row r="566" spans="1:32" hidden="1" x14ac:dyDescent="0.2">
      <c r="A566">
        <v>2956</v>
      </c>
      <c r="B566">
        <v>2148</v>
      </c>
      <c r="C566">
        <v>1</v>
      </c>
      <c r="D566">
        <v>6</v>
      </c>
      <c r="E566" s="5" t="s">
        <v>131</v>
      </c>
      <c r="F566" s="5" t="s">
        <v>3</v>
      </c>
      <c r="G566" s="5" t="s">
        <v>99</v>
      </c>
      <c r="H566" s="5" t="s">
        <v>17</v>
      </c>
      <c r="I566" s="5"/>
      <c r="J566" s="5" t="s">
        <v>100</v>
      </c>
      <c r="K566" s="5"/>
      <c r="L566" s="5" t="s">
        <v>101</v>
      </c>
      <c r="M566" s="5">
        <v>0.12</v>
      </c>
      <c r="N566" s="5">
        <v>1.68</v>
      </c>
      <c r="O566" s="5">
        <v>5.25</v>
      </c>
      <c r="P566" s="5">
        <v>4.53</v>
      </c>
      <c r="Q566" s="5">
        <v>6.49</v>
      </c>
      <c r="R566" s="5">
        <v>5.82</v>
      </c>
      <c r="S566" s="5">
        <v>11.91</v>
      </c>
      <c r="T566" s="5">
        <v>11.75</v>
      </c>
      <c r="U566" s="5">
        <v>6.68</v>
      </c>
      <c r="V566" s="5">
        <v>16.79</v>
      </c>
      <c r="W566" s="5">
        <v>38.04</v>
      </c>
      <c r="X566" s="5">
        <v>43.35</v>
      </c>
      <c r="Y566" s="5">
        <v>51.87</v>
      </c>
      <c r="Z566" s="5">
        <v>64</v>
      </c>
      <c r="AA566" s="5">
        <v>92</v>
      </c>
      <c r="AB566" s="5">
        <v>66</v>
      </c>
      <c r="AC566" s="5">
        <v>49.63</v>
      </c>
      <c r="AD566" s="5">
        <v>51.63</v>
      </c>
      <c r="AE566" s="5">
        <v>62.9</v>
      </c>
      <c r="AF566" s="5">
        <v>76.8</v>
      </c>
    </row>
    <row r="567" spans="1:32" hidden="1" x14ac:dyDescent="0.2">
      <c r="A567">
        <v>2956</v>
      </c>
      <c r="B567">
        <v>1593</v>
      </c>
      <c r="C567">
        <v>1</v>
      </c>
      <c r="D567">
        <v>6</v>
      </c>
      <c r="E567" s="5" t="s">
        <v>131</v>
      </c>
      <c r="F567" s="5" t="s">
        <v>102</v>
      </c>
      <c r="G567" s="5" t="s">
        <v>99</v>
      </c>
      <c r="H567" s="5" t="s">
        <v>17</v>
      </c>
      <c r="I567" s="5"/>
      <c r="J567" s="5" t="s">
        <v>103</v>
      </c>
      <c r="K567" s="5"/>
      <c r="L567" s="5" t="s">
        <v>101</v>
      </c>
      <c r="M567" s="5">
        <v>0.1</v>
      </c>
      <c r="N567" s="5">
        <v>4.51</v>
      </c>
      <c r="O567" s="5">
        <v>4.5999999999999996</v>
      </c>
      <c r="P567" s="5">
        <v>5.09</v>
      </c>
      <c r="Q567" s="5">
        <v>5.78</v>
      </c>
      <c r="R567" s="5">
        <v>5.78</v>
      </c>
      <c r="S567" s="5">
        <v>6.5</v>
      </c>
      <c r="T567" s="5">
        <v>22.5</v>
      </c>
      <c r="U567" s="5">
        <v>22.5</v>
      </c>
      <c r="V567" s="5">
        <v>22.64</v>
      </c>
      <c r="W567" s="5">
        <v>16.57</v>
      </c>
      <c r="X567" s="5">
        <v>51.27</v>
      </c>
      <c r="Y567" s="5">
        <v>64.77</v>
      </c>
      <c r="Z567" s="5">
        <v>29</v>
      </c>
      <c r="AA567" s="5">
        <v>29</v>
      </c>
      <c r="AB567" s="5">
        <v>29</v>
      </c>
      <c r="AC567" s="5">
        <v>28.57</v>
      </c>
      <c r="AD567" s="5">
        <v>28.57</v>
      </c>
      <c r="AE567" s="5">
        <v>49</v>
      </c>
      <c r="AF567" s="5">
        <v>49</v>
      </c>
    </row>
    <row r="568" spans="1:32" hidden="1" x14ac:dyDescent="0.2">
      <c r="A568">
        <v>2956</v>
      </c>
      <c r="B568">
        <v>2148</v>
      </c>
      <c r="C568">
        <v>1</v>
      </c>
      <c r="D568">
        <v>1</v>
      </c>
      <c r="E568" s="5" t="s">
        <v>131</v>
      </c>
      <c r="F568" s="5" t="s">
        <v>3</v>
      </c>
      <c r="G568" s="5" t="s">
        <v>99</v>
      </c>
      <c r="H568" s="5" t="s">
        <v>19</v>
      </c>
      <c r="I568" s="5"/>
      <c r="J568" s="5" t="s">
        <v>100</v>
      </c>
      <c r="K568" s="5"/>
      <c r="L568" s="5" t="s">
        <v>101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15176</v>
      </c>
      <c r="AA568" s="5">
        <v>15283</v>
      </c>
      <c r="AB568" s="5">
        <v>12984</v>
      </c>
      <c r="AC568" s="5">
        <v>15254</v>
      </c>
      <c r="AD568" s="5">
        <v>20442</v>
      </c>
      <c r="AE568" s="5">
        <v>24326</v>
      </c>
      <c r="AF568" s="5">
        <v>23939</v>
      </c>
    </row>
    <row r="569" spans="1:32" x14ac:dyDescent="0.2">
      <c r="A569">
        <v>2956</v>
      </c>
      <c r="B569">
        <v>1593</v>
      </c>
      <c r="C569">
        <v>1</v>
      </c>
      <c r="D569">
        <v>1</v>
      </c>
      <c r="E569" s="5" t="s">
        <v>131</v>
      </c>
      <c r="F569" s="5" t="s">
        <v>102</v>
      </c>
      <c r="G569" s="5" t="s">
        <v>99</v>
      </c>
      <c r="H569" s="5" t="s">
        <v>19</v>
      </c>
      <c r="I569" s="5"/>
      <c r="J569" s="5" t="s">
        <v>103</v>
      </c>
      <c r="K569" s="5"/>
      <c r="L569" s="5" t="s">
        <v>101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0.9</v>
      </c>
      <c r="Z569" s="5">
        <v>1762.12</v>
      </c>
      <c r="AA569" s="5">
        <v>1767.12</v>
      </c>
      <c r="AB569" s="5">
        <v>1770.62</v>
      </c>
      <c r="AC569" s="5">
        <v>2124.7399999999998</v>
      </c>
      <c r="AD569" s="5">
        <v>2925.05</v>
      </c>
      <c r="AE569" s="5">
        <v>3201</v>
      </c>
      <c r="AF569" s="5">
        <v>2906.36</v>
      </c>
    </row>
    <row r="570" spans="1:32" hidden="1" x14ac:dyDescent="0.2">
      <c r="A570">
        <v>2956</v>
      </c>
      <c r="B570">
        <v>2148</v>
      </c>
      <c r="C570">
        <v>1</v>
      </c>
      <c r="D570">
        <v>13</v>
      </c>
      <c r="E570" s="5" t="s">
        <v>131</v>
      </c>
      <c r="F570" s="5" t="s">
        <v>3</v>
      </c>
      <c r="G570" s="5" t="s">
        <v>99</v>
      </c>
      <c r="H570" s="5" t="s">
        <v>20</v>
      </c>
      <c r="I570" s="5"/>
      <c r="J570" s="5" t="s">
        <v>100</v>
      </c>
      <c r="K570" s="5"/>
      <c r="L570" s="5" t="s">
        <v>101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5</v>
      </c>
      <c r="V570" s="5">
        <v>5</v>
      </c>
      <c r="W570" s="5">
        <v>4</v>
      </c>
      <c r="X570" s="5">
        <v>5</v>
      </c>
      <c r="Y570" s="5">
        <v>26</v>
      </c>
      <c r="Z570" s="5">
        <v>47</v>
      </c>
      <c r="AA570" s="5">
        <v>48</v>
      </c>
      <c r="AB570" s="5">
        <v>58</v>
      </c>
      <c r="AC570" s="5">
        <v>49</v>
      </c>
      <c r="AD570" s="5">
        <v>36</v>
      </c>
      <c r="AE570" s="5">
        <v>28</v>
      </c>
      <c r="AF570" s="5">
        <v>39</v>
      </c>
    </row>
    <row r="571" spans="1:32" hidden="1" x14ac:dyDescent="0.2">
      <c r="A571">
        <v>2956</v>
      </c>
      <c r="B571">
        <v>1593</v>
      </c>
      <c r="C571">
        <v>1</v>
      </c>
      <c r="D571">
        <v>13</v>
      </c>
      <c r="E571" s="5" t="s">
        <v>131</v>
      </c>
      <c r="F571" s="5" t="s">
        <v>102</v>
      </c>
      <c r="G571" s="5" t="s">
        <v>99</v>
      </c>
      <c r="H571" s="5" t="s">
        <v>20</v>
      </c>
      <c r="I571" s="5"/>
      <c r="J571" s="5" t="s">
        <v>103</v>
      </c>
      <c r="K571" s="5"/>
      <c r="L571" s="5" t="s">
        <v>101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1</v>
      </c>
      <c r="V571" s="5">
        <v>5</v>
      </c>
      <c r="W571" s="5">
        <v>40</v>
      </c>
      <c r="X571" s="5">
        <v>25</v>
      </c>
      <c r="Y571" s="5">
        <v>25</v>
      </c>
      <c r="Z571" s="5">
        <v>40</v>
      </c>
      <c r="AA571" s="5">
        <v>42.79</v>
      </c>
      <c r="AB571" s="5">
        <v>42.79</v>
      </c>
      <c r="AC571" s="5">
        <v>43</v>
      </c>
      <c r="AD571" s="5">
        <v>43</v>
      </c>
      <c r="AE571" s="5">
        <v>43</v>
      </c>
      <c r="AF571" s="5">
        <v>43</v>
      </c>
    </row>
    <row r="572" spans="1:32" hidden="1" x14ac:dyDescent="0.2">
      <c r="A572">
        <v>2956</v>
      </c>
      <c r="B572">
        <v>2148</v>
      </c>
      <c r="C572">
        <v>1</v>
      </c>
      <c r="D572">
        <v>17</v>
      </c>
      <c r="E572" s="5" t="s">
        <v>131</v>
      </c>
      <c r="F572" s="5" t="s">
        <v>3</v>
      </c>
      <c r="G572" s="5" t="s">
        <v>99</v>
      </c>
      <c r="H572" s="5" t="s">
        <v>22</v>
      </c>
      <c r="I572" s="5"/>
      <c r="J572" s="5" t="s">
        <v>100</v>
      </c>
      <c r="K572" s="5"/>
      <c r="L572" s="5" t="s">
        <v>101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792.5</v>
      </c>
      <c r="U572" s="5">
        <v>1108</v>
      </c>
      <c r="V572" s="5">
        <v>648.70000000000005</v>
      </c>
      <c r="W572" s="5">
        <v>685.6</v>
      </c>
      <c r="X572" s="5">
        <v>685.9</v>
      </c>
      <c r="Y572" s="5">
        <v>611.29999999999995</v>
      </c>
      <c r="Z572" s="5">
        <v>1141.96</v>
      </c>
      <c r="AA572" s="5">
        <v>960.23</v>
      </c>
      <c r="AB572" s="5">
        <v>1042.56</v>
      </c>
      <c r="AC572" s="5">
        <v>1036.6300000000001</v>
      </c>
      <c r="AD572" s="5">
        <v>919</v>
      </c>
      <c r="AE572" s="5">
        <v>1072</v>
      </c>
      <c r="AF572" s="5">
        <v>1006</v>
      </c>
    </row>
    <row r="573" spans="1:32" hidden="1" x14ac:dyDescent="0.2">
      <c r="A573">
        <v>2956</v>
      </c>
      <c r="B573">
        <v>1593</v>
      </c>
      <c r="C573">
        <v>1</v>
      </c>
      <c r="D573">
        <v>17</v>
      </c>
      <c r="E573" s="5" t="s">
        <v>131</v>
      </c>
      <c r="F573" s="5" t="s">
        <v>102</v>
      </c>
      <c r="G573" s="5" t="s">
        <v>99</v>
      </c>
      <c r="H573" s="5" t="s">
        <v>22</v>
      </c>
      <c r="I573" s="5"/>
      <c r="J573" s="5" t="s">
        <v>103</v>
      </c>
      <c r="K573" s="5"/>
      <c r="L573" s="5" t="s">
        <v>101</v>
      </c>
      <c r="M573" s="5">
        <v>468</v>
      </c>
      <c r="N573" s="5">
        <v>441</v>
      </c>
      <c r="O573" s="5">
        <v>546</v>
      </c>
      <c r="P573" s="5">
        <v>566</v>
      </c>
      <c r="Q573" s="5">
        <v>1330</v>
      </c>
      <c r="R573" s="5">
        <v>50</v>
      </c>
      <c r="S573" s="5">
        <v>752</v>
      </c>
      <c r="T573" s="5">
        <v>784</v>
      </c>
      <c r="U573" s="5">
        <v>765</v>
      </c>
      <c r="V573" s="5">
        <v>728.8</v>
      </c>
      <c r="W573" s="5">
        <v>862.5</v>
      </c>
      <c r="X573" s="5">
        <v>742.4</v>
      </c>
      <c r="Y573" s="5">
        <v>784.15</v>
      </c>
      <c r="Z573" s="5">
        <v>573.95000000000005</v>
      </c>
      <c r="AA573" s="5">
        <v>482.48</v>
      </c>
      <c r="AB573" s="5">
        <v>690.58</v>
      </c>
      <c r="AC573" s="5">
        <v>580.70000000000005</v>
      </c>
      <c r="AD573" s="5">
        <v>326.61</v>
      </c>
      <c r="AE573" s="5">
        <v>819</v>
      </c>
      <c r="AF573" s="5">
        <v>828.1</v>
      </c>
    </row>
    <row r="574" spans="1:32" hidden="1" x14ac:dyDescent="0.2">
      <c r="A574">
        <v>2956</v>
      </c>
      <c r="B574">
        <v>2148</v>
      </c>
      <c r="C574">
        <v>1</v>
      </c>
      <c r="D574">
        <v>12</v>
      </c>
      <c r="E574" s="5" t="s">
        <v>131</v>
      </c>
      <c r="F574" s="5" t="s">
        <v>3</v>
      </c>
      <c r="G574" s="5" t="s">
        <v>99</v>
      </c>
      <c r="H574" s="5" t="s">
        <v>23</v>
      </c>
      <c r="I574" s="5"/>
      <c r="J574" s="5" t="s">
        <v>100</v>
      </c>
      <c r="K574" s="5"/>
      <c r="L574" s="5" t="s">
        <v>101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</row>
    <row r="575" spans="1:32" hidden="1" x14ac:dyDescent="0.2">
      <c r="A575">
        <v>2956</v>
      </c>
      <c r="B575">
        <v>1593</v>
      </c>
      <c r="C575">
        <v>1</v>
      </c>
      <c r="D575">
        <v>12</v>
      </c>
      <c r="E575" s="5" t="s">
        <v>131</v>
      </c>
      <c r="F575" s="5" t="s">
        <v>102</v>
      </c>
      <c r="G575" s="5" t="s">
        <v>99</v>
      </c>
      <c r="H575" s="5" t="s">
        <v>23</v>
      </c>
      <c r="I575" s="5"/>
      <c r="J575" s="5" t="s">
        <v>103</v>
      </c>
      <c r="K575" s="5"/>
      <c r="L575" s="5" t="s">
        <v>101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5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</row>
    <row r="576" spans="1:32" hidden="1" x14ac:dyDescent="0.2">
      <c r="A576">
        <v>2956</v>
      </c>
      <c r="B576">
        <v>2148</v>
      </c>
      <c r="C576">
        <v>1</v>
      </c>
      <c r="D576">
        <v>19</v>
      </c>
      <c r="E576" s="5" t="s">
        <v>131</v>
      </c>
      <c r="F576" s="5" t="s">
        <v>3</v>
      </c>
      <c r="G576" s="5" t="s">
        <v>99</v>
      </c>
      <c r="H576" s="5" t="s">
        <v>25</v>
      </c>
      <c r="I576" s="5"/>
      <c r="J576" s="5" t="s">
        <v>100</v>
      </c>
      <c r="K576" s="5"/>
      <c r="L576" s="5" t="s">
        <v>101</v>
      </c>
      <c r="M576" s="5">
        <v>0</v>
      </c>
      <c r="N576" s="5">
        <v>0</v>
      </c>
      <c r="O576" s="5">
        <v>0</v>
      </c>
      <c r="P576" s="5">
        <v>0</v>
      </c>
      <c r="Q576" s="5">
        <v>13.7</v>
      </c>
      <c r="R576" s="5">
        <v>27.3</v>
      </c>
      <c r="S576" s="5">
        <v>115.3</v>
      </c>
      <c r="T576" s="5">
        <v>182.8</v>
      </c>
      <c r="U576" s="5">
        <v>212</v>
      </c>
      <c r="V576" s="5">
        <v>195.7</v>
      </c>
      <c r="W576" s="5">
        <v>367.5</v>
      </c>
      <c r="X576" s="5">
        <v>725.9</v>
      </c>
      <c r="Y576" s="5">
        <v>1013.1</v>
      </c>
      <c r="Z576" s="5">
        <v>1104.82</v>
      </c>
      <c r="AA576" s="5">
        <v>1040.3399999999999</v>
      </c>
      <c r="AB576" s="5">
        <v>1261.02</v>
      </c>
      <c r="AC576" s="5">
        <v>1164.69</v>
      </c>
      <c r="AD576" s="5">
        <v>1322.13</v>
      </c>
      <c r="AE576" s="5">
        <v>1408.86</v>
      </c>
      <c r="AF576" s="5">
        <v>1445.92</v>
      </c>
    </row>
    <row r="577" spans="1:32" hidden="1" x14ac:dyDescent="0.2">
      <c r="A577">
        <v>2956</v>
      </c>
      <c r="B577">
        <v>1593</v>
      </c>
      <c r="C577">
        <v>1</v>
      </c>
      <c r="D577">
        <v>19</v>
      </c>
      <c r="E577" s="5" t="s">
        <v>131</v>
      </c>
      <c r="F577" s="5" t="s">
        <v>102</v>
      </c>
      <c r="G577" s="5" t="s">
        <v>99</v>
      </c>
      <c r="H577" s="5" t="s">
        <v>25</v>
      </c>
      <c r="I577" s="5"/>
      <c r="J577" s="5" t="s">
        <v>103</v>
      </c>
      <c r="K577" s="5"/>
      <c r="L577" s="5" t="s">
        <v>101</v>
      </c>
      <c r="M577" s="5">
        <v>30</v>
      </c>
      <c r="N577" s="5">
        <v>30</v>
      </c>
      <c r="O577" s="5">
        <v>30</v>
      </c>
      <c r="P577" s="5">
        <v>30</v>
      </c>
      <c r="Q577" s="5">
        <v>30</v>
      </c>
      <c r="R577" s="5">
        <v>38</v>
      </c>
      <c r="S577" s="5">
        <v>82.76</v>
      </c>
      <c r="T577" s="5">
        <v>118.67</v>
      </c>
      <c r="U577" s="5">
        <v>118.67</v>
      </c>
      <c r="V577" s="5">
        <v>130.66999999999999</v>
      </c>
      <c r="W577" s="5">
        <v>220.67</v>
      </c>
      <c r="X577" s="5">
        <v>232.67</v>
      </c>
      <c r="Y577" s="5">
        <v>223.72</v>
      </c>
      <c r="Z577" s="5">
        <v>258.48</v>
      </c>
      <c r="AA577" s="5">
        <v>363.39</v>
      </c>
      <c r="AB577" s="5">
        <v>483.29</v>
      </c>
      <c r="AC577" s="5">
        <v>489.29</v>
      </c>
      <c r="AD577" s="5">
        <v>611</v>
      </c>
      <c r="AE577" s="5">
        <v>585</v>
      </c>
      <c r="AF577" s="5">
        <v>595</v>
      </c>
    </row>
    <row r="578" spans="1:32" hidden="1" x14ac:dyDescent="0.2">
      <c r="A578">
        <v>2956</v>
      </c>
      <c r="B578">
        <v>2148</v>
      </c>
      <c r="C578">
        <v>1</v>
      </c>
      <c r="D578">
        <v>16</v>
      </c>
      <c r="E578" s="5" t="s">
        <v>131</v>
      </c>
      <c r="F578" s="5" t="s">
        <v>3</v>
      </c>
      <c r="G578" s="5" t="s">
        <v>99</v>
      </c>
      <c r="H578" s="5" t="s">
        <v>27</v>
      </c>
      <c r="I578" s="5"/>
      <c r="J578" s="5" t="s">
        <v>100</v>
      </c>
      <c r="K578" s="5"/>
      <c r="L578" s="5" t="s">
        <v>101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</row>
    <row r="579" spans="1:32" hidden="1" x14ac:dyDescent="0.2">
      <c r="A579">
        <v>2956</v>
      </c>
      <c r="B579">
        <v>1593</v>
      </c>
      <c r="C579">
        <v>1</v>
      </c>
      <c r="D579">
        <v>16</v>
      </c>
      <c r="E579" s="5" t="s">
        <v>131</v>
      </c>
      <c r="F579" s="5" t="s">
        <v>102</v>
      </c>
      <c r="G579" s="5" t="s">
        <v>99</v>
      </c>
      <c r="H579" s="5" t="s">
        <v>27</v>
      </c>
      <c r="I579" s="5"/>
      <c r="J579" s="5" t="s">
        <v>103</v>
      </c>
      <c r="K579" s="5"/>
      <c r="L579" s="5" t="s">
        <v>101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</row>
    <row r="580" spans="1:32" hidden="1" x14ac:dyDescent="0.2">
      <c r="A580">
        <v>2956</v>
      </c>
      <c r="B580">
        <v>2148</v>
      </c>
      <c r="C580">
        <v>1</v>
      </c>
      <c r="D580">
        <v>11</v>
      </c>
      <c r="E580" s="5" t="s">
        <v>131</v>
      </c>
      <c r="F580" s="5" t="s">
        <v>3</v>
      </c>
      <c r="G580" s="5" t="s">
        <v>99</v>
      </c>
      <c r="H580" s="5" t="s">
        <v>28</v>
      </c>
      <c r="I580" s="5"/>
      <c r="J580" s="5" t="s">
        <v>100</v>
      </c>
      <c r="K580" s="5"/>
      <c r="L580" s="5" t="s">
        <v>101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3123</v>
      </c>
      <c r="T580" s="5">
        <v>4999.7</v>
      </c>
      <c r="U580" s="5">
        <v>4949.8</v>
      </c>
      <c r="V580" s="5">
        <v>4918</v>
      </c>
      <c r="W580" s="5">
        <v>12379.9</v>
      </c>
      <c r="X580" s="5">
        <v>15674.4</v>
      </c>
      <c r="Y580" s="5">
        <v>15032.8</v>
      </c>
      <c r="Z580" s="5">
        <v>15032.8</v>
      </c>
      <c r="AA580" s="5">
        <v>15032.8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</row>
    <row r="581" spans="1:32" hidden="1" x14ac:dyDescent="0.2">
      <c r="A581">
        <v>2956</v>
      </c>
      <c r="B581">
        <v>1593</v>
      </c>
      <c r="C581">
        <v>1</v>
      </c>
      <c r="D581">
        <v>11</v>
      </c>
      <c r="E581" s="5" t="s">
        <v>131</v>
      </c>
      <c r="F581" s="5" t="s">
        <v>102</v>
      </c>
      <c r="G581" s="5" t="s">
        <v>99</v>
      </c>
      <c r="H581" s="5" t="s">
        <v>28</v>
      </c>
      <c r="I581" s="5"/>
      <c r="J581" s="5" t="s">
        <v>103</v>
      </c>
      <c r="K581" s="5"/>
      <c r="L581" s="5" t="s">
        <v>101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1986.88</v>
      </c>
      <c r="T581" s="5">
        <v>2196.0700000000002</v>
      </c>
      <c r="U581" s="5">
        <v>2633.49</v>
      </c>
      <c r="V581" s="5">
        <v>2829.04</v>
      </c>
      <c r="W581" s="5">
        <v>3230.79</v>
      </c>
      <c r="X581" s="5">
        <v>2588</v>
      </c>
      <c r="Y581" s="5">
        <v>3830.17</v>
      </c>
      <c r="Z581" s="5">
        <v>3830.17</v>
      </c>
      <c r="AA581" s="5">
        <v>3830.17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</row>
    <row r="582" spans="1:32" hidden="1" x14ac:dyDescent="0.2">
      <c r="A582">
        <v>2956</v>
      </c>
      <c r="B582">
        <v>2148</v>
      </c>
      <c r="C582">
        <v>1</v>
      </c>
      <c r="D582">
        <v>14</v>
      </c>
      <c r="E582" s="5" t="s">
        <v>131</v>
      </c>
      <c r="F582" s="5" t="s">
        <v>3</v>
      </c>
      <c r="G582" s="5" t="s">
        <v>99</v>
      </c>
      <c r="H582" s="5" t="s">
        <v>1</v>
      </c>
      <c r="I582" s="5"/>
      <c r="J582" s="5" t="s">
        <v>100</v>
      </c>
      <c r="K582" s="5"/>
      <c r="L582" s="5" t="s">
        <v>101</v>
      </c>
      <c r="M582" s="5">
        <v>66</v>
      </c>
      <c r="N582" s="5">
        <v>42.74</v>
      </c>
      <c r="O582" s="5">
        <v>51.7</v>
      </c>
      <c r="P582" s="5">
        <v>43</v>
      </c>
      <c r="Q582" s="5">
        <v>49</v>
      </c>
      <c r="R582" s="5">
        <v>49</v>
      </c>
      <c r="S582" s="5">
        <v>72</v>
      </c>
      <c r="T582" s="5">
        <v>76</v>
      </c>
      <c r="U582" s="5">
        <v>70</v>
      </c>
      <c r="V582" s="5">
        <v>77</v>
      </c>
      <c r="W582" s="5">
        <v>143</v>
      </c>
      <c r="X582" s="5">
        <v>122</v>
      </c>
      <c r="Y582" s="5">
        <v>208</v>
      </c>
      <c r="Z582" s="5">
        <v>488</v>
      </c>
      <c r="AA582" s="5">
        <v>350</v>
      </c>
      <c r="AB582" s="5">
        <v>340</v>
      </c>
      <c r="AC582" s="5">
        <v>321</v>
      </c>
      <c r="AD582" s="5">
        <v>378</v>
      </c>
      <c r="AE582" s="5">
        <v>867</v>
      </c>
      <c r="AF582" s="5">
        <v>1032</v>
      </c>
    </row>
    <row r="583" spans="1:32" hidden="1" x14ac:dyDescent="0.2">
      <c r="A583">
        <v>2956</v>
      </c>
      <c r="B583">
        <v>1593</v>
      </c>
      <c r="C583">
        <v>1</v>
      </c>
      <c r="D583">
        <v>14</v>
      </c>
      <c r="E583" s="5" t="s">
        <v>131</v>
      </c>
      <c r="F583" s="5" t="s">
        <v>102</v>
      </c>
      <c r="G583" s="5" t="s">
        <v>99</v>
      </c>
      <c r="H583" s="5" t="s">
        <v>1</v>
      </c>
      <c r="I583" s="5"/>
      <c r="J583" s="5" t="s">
        <v>103</v>
      </c>
      <c r="K583" s="5"/>
      <c r="L583" s="5" t="s">
        <v>101</v>
      </c>
      <c r="M583" s="5">
        <v>16.23</v>
      </c>
      <c r="N583" s="5">
        <v>10.51</v>
      </c>
      <c r="O583" s="5">
        <v>12.71</v>
      </c>
      <c r="P583" s="5">
        <v>10.57</v>
      </c>
      <c r="Q583" s="5">
        <v>12.05</v>
      </c>
      <c r="R583" s="5">
        <v>12.05</v>
      </c>
      <c r="S583" s="5">
        <v>17.7</v>
      </c>
      <c r="T583" s="5">
        <v>18.690000000000001</v>
      </c>
      <c r="U583" s="5">
        <v>17.21</v>
      </c>
      <c r="V583" s="5">
        <v>18.93</v>
      </c>
      <c r="W583" s="5">
        <v>35.159999999999997</v>
      </c>
      <c r="X583" s="5">
        <v>30</v>
      </c>
      <c r="Y583" s="5">
        <v>55</v>
      </c>
      <c r="Z583" s="5">
        <v>325</v>
      </c>
      <c r="AA583" s="5">
        <v>380</v>
      </c>
      <c r="AB583" s="5">
        <v>365</v>
      </c>
      <c r="AC583" s="5">
        <v>325</v>
      </c>
      <c r="AD583" s="5">
        <v>395</v>
      </c>
      <c r="AE583" s="5">
        <v>410</v>
      </c>
      <c r="AF583" s="5">
        <v>439</v>
      </c>
    </row>
    <row r="584" spans="1:32" hidden="1" x14ac:dyDescent="0.2">
      <c r="A584">
        <v>2731</v>
      </c>
      <c r="B584">
        <v>2148</v>
      </c>
      <c r="C584">
        <v>1</v>
      </c>
      <c r="D584">
        <v>15</v>
      </c>
      <c r="E584" s="5" t="s">
        <v>132</v>
      </c>
      <c r="F584" s="5" t="s">
        <v>3</v>
      </c>
      <c r="G584" s="5" t="s">
        <v>99</v>
      </c>
      <c r="H584" s="5" t="s">
        <v>15</v>
      </c>
      <c r="I584" s="5"/>
      <c r="J584" s="5" t="s">
        <v>100</v>
      </c>
      <c r="K584" s="5"/>
      <c r="L584" s="5" t="s">
        <v>101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</row>
    <row r="585" spans="1:32" hidden="1" x14ac:dyDescent="0.2">
      <c r="A585">
        <v>2731</v>
      </c>
      <c r="B585">
        <v>1593</v>
      </c>
      <c r="C585">
        <v>1</v>
      </c>
      <c r="D585">
        <v>15</v>
      </c>
      <c r="E585" s="5" t="s">
        <v>132</v>
      </c>
      <c r="F585" s="5" t="s">
        <v>102</v>
      </c>
      <c r="G585" s="5" t="s">
        <v>99</v>
      </c>
      <c r="H585" s="5" t="s">
        <v>15</v>
      </c>
      <c r="I585" s="5"/>
      <c r="J585" s="5" t="s">
        <v>103</v>
      </c>
      <c r="K585" s="5"/>
      <c r="L585" s="5" t="s">
        <v>101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</row>
    <row r="586" spans="1:32" hidden="1" x14ac:dyDescent="0.2">
      <c r="A586">
        <v>2731</v>
      </c>
      <c r="B586">
        <v>2148</v>
      </c>
      <c r="C586">
        <v>1</v>
      </c>
      <c r="D586">
        <v>6</v>
      </c>
      <c r="E586" s="5" t="s">
        <v>132</v>
      </c>
      <c r="F586" s="5" t="s">
        <v>3</v>
      </c>
      <c r="G586" s="5" t="s">
        <v>99</v>
      </c>
      <c r="H586" s="5" t="s">
        <v>17</v>
      </c>
      <c r="I586" s="5"/>
      <c r="J586" s="5" t="s">
        <v>100</v>
      </c>
      <c r="K586" s="5"/>
      <c r="L586" s="5" t="s">
        <v>101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</row>
    <row r="587" spans="1:32" hidden="1" x14ac:dyDescent="0.2">
      <c r="A587">
        <v>2731</v>
      </c>
      <c r="B587">
        <v>1593</v>
      </c>
      <c r="C587">
        <v>1</v>
      </c>
      <c r="D587">
        <v>6</v>
      </c>
      <c r="E587" s="5" t="s">
        <v>132</v>
      </c>
      <c r="F587" s="5" t="s">
        <v>102</v>
      </c>
      <c r="G587" s="5" t="s">
        <v>99</v>
      </c>
      <c r="H587" s="5" t="s">
        <v>17</v>
      </c>
      <c r="I587" s="5"/>
      <c r="J587" s="5" t="s">
        <v>103</v>
      </c>
      <c r="K587" s="5"/>
      <c r="L587" s="5" t="s">
        <v>101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</row>
    <row r="588" spans="1:32" hidden="1" x14ac:dyDescent="0.2">
      <c r="A588">
        <v>2731</v>
      </c>
      <c r="B588">
        <v>2148</v>
      </c>
      <c r="C588">
        <v>1</v>
      </c>
      <c r="D588">
        <v>1</v>
      </c>
      <c r="E588" s="5" t="s">
        <v>132</v>
      </c>
      <c r="F588" s="5" t="s">
        <v>3</v>
      </c>
      <c r="G588" s="5" t="s">
        <v>99</v>
      </c>
      <c r="H588" s="5" t="s">
        <v>19</v>
      </c>
      <c r="I588" s="5"/>
      <c r="J588" s="5" t="s">
        <v>100</v>
      </c>
      <c r="K588" s="5"/>
      <c r="L588" s="5" t="s">
        <v>101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</row>
    <row r="589" spans="1:32" x14ac:dyDescent="0.2">
      <c r="A589">
        <v>2731</v>
      </c>
      <c r="B589">
        <v>1593</v>
      </c>
      <c r="C589">
        <v>1</v>
      </c>
      <c r="D589">
        <v>1</v>
      </c>
      <c r="E589" s="5" t="s">
        <v>132</v>
      </c>
      <c r="F589" s="5" t="s">
        <v>102</v>
      </c>
      <c r="G589" s="5" t="s">
        <v>99</v>
      </c>
      <c r="H589" s="5" t="s">
        <v>19</v>
      </c>
      <c r="I589" s="5"/>
      <c r="J589" s="5" t="s">
        <v>103</v>
      </c>
      <c r="K589" s="5"/>
      <c r="L589" s="5" t="s">
        <v>101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</row>
    <row r="590" spans="1:32" hidden="1" x14ac:dyDescent="0.2">
      <c r="A590">
        <v>2731</v>
      </c>
      <c r="B590">
        <v>2148</v>
      </c>
      <c r="C590">
        <v>1</v>
      </c>
      <c r="D590">
        <v>13</v>
      </c>
      <c r="E590" s="5" t="s">
        <v>132</v>
      </c>
      <c r="F590" s="5" t="s">
        <v>3</v>
      </c>
      <c r="G590" s="5" t="s">
        <v>99</v>
      </c>
      <c r="H590" s="5" t="s">
        <v>20</v>
      </c>
      <c r="I590" s="5"/>
      <c r="J590" s="5" t="s">
        <v>100</v>
      </c>
      <c r="K590" s="5"/>
      <c r="L590" s="5" t="s">
        <v>101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</row>
    <row r="591" spans="1:32" hidden="1" x14ac:dyDescent="0.2">
      <c r="A591">
        <v>2731</v>
      </c>
      <c r="B591">
        <v>1593</v>
      </c>
      <c r="C591">
        <v>1</v>
      </c>
      <c r="D591">
        <v>13</v>
      </c>
      <c r="E591" s="5" t="s">
        <v>132</v>
      </c>
      <c r="F591" s="5" t="s">
        <v>102</v>
      </c>
      <c r="G591" s="5" t="s">
        <v>99</v>
      </c>
      <c r="H591" s="5" t="s">
        <v>20</v>
      </c>
      <c r="I591" s="5"/>
      <c r="J591" s="5" t="s">
        <v>103</v>
      </c>
      <c r="K591" s="5"/>
      <c r="L591" s="5" t="s">
        <v>101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</row>
    <row r="592" spans="1:32" hidden="1" x14ac:dyDescent="0.2">
      <c r="A592">
        <v>2731</v>
      </c>
      <c r="B592">
        <v>2148</v>
      </c>
      <c r="C592">
        <v>1</v>
      </c>
      <c r="D592">
        <v>17</v>
      </c>
      <c r="E592" s="5" t="s">
        <v>132</v>
      </c>
      <c r="F592" s="5" t="s">
        <v>3</v>
      </c>
      <c r="G592" s="5" t="s">
        <v>99</v>
      </c>
      <c r="H592" s="5" t="s">
        <v>22</v>
      </c>
      <c r="I592" s="5"/>
      <c r="J592" s="5" t="s">
        <v>100</v>
      </c>
      <c r="K592" s="5"/>
      <c r="L592" s="5" t="s">
        <v>101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</row>
    <row r="593" spans="1:32" hidden="1" x14ac:dyDescent="0.2">
      <c r="A593">
        <v>2731</v>
      </c>
      <c r="B593">
        <v>1593</v>
      </c>
      <c r="C593">
        <v>1</v>
      </c>
      <c r="D593">
        <v>17</v>
      </c>
      <c r="E593" s="5" t="s">
        <v>132</v>
      </c>
      <c r="F593" s="5" t="s">
        <v>102</v>
      </c>
      <c r="G593" s="5" t="s">
        <v>99</v>
      </c>
      <c r="H593" s="5" t="s">
        <v>22</v>
      </c>
      <c r="I593" s="5"/>
      <c r="J593" s="5" t="s">
        <v>103</v>
      </c>
      <c r="K593" s="5"/>
      <c r="L593" s="5" t="s">
        <v>101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</row>
    <row r="594" spans="1:32" hidden="1" x14ac:dyDescent="0.2">
      <c r="A594">
        <v>2731</v>
      </c>
      <c r="B594">
        <v>2148</v>
      </c>
      <c r="C594">
        <v>1</v>
      </c>
      <c r="D594">
        <v>12</v>
      </c>
      <c r="E594" s="5" t="s">
        <v>132</v>
      </c>
      <c r="F594" s="5" t="s">
        <v>3</v>
      </c>
      <c r="G594" s="5" t="s">
        <v>99</v>
      </c>
      <c r="H594" s="5" t="s">
        <v>23</v>
      </c>
      <c r="I594" s="5"/>
      <c r="J594" s="5" t="s">
        <v>100</v>
      </c>
      <c r="K594" s="5"/>
      <c r="L594" s="5" t="s">
        <v>101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</row>
    <row r="595" spans="1:32" hidden="1" x14ac:dyDescent="0.2">
      <c r="A595">
        <v>2731</v>
      </c>
      <c r="B595">
        <v>1593</v>
      </c>
      <c r="C595">
        <v>1</v>
      </c>
      <c r="D595">
        <v>12</v>
      </c>
      <c r="E595" s="5" t="s">
        <v>132</v>
      </c>
      <c r="F595" s="5" t="s">
        <v>102</v>
      </c>
      <c r="G595" s="5" t="s">
        <v>99</v>
      </c>
      <c r="H595" s="5" t="s">
        <v>23</v>
      </c>
      <c r="I595" s="5"/>
      <c r="J595" s="5" t="s">
        <v>103</v>
      </c>
      <c r="K595" s="5"/>
      <c r="L595" s="5" t="s">
        <v>101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</row>
    <row r="596" spans="1:32" hidden="1" x14ac:dyDescent="0.2">
      <c r="A596">
        <v>2731</v>
      </c>
      <c r="B596">
        <v>2148</v>
      </c>
      <c r="C596">
        <v>1</v>
      </c>
      <c r="D596">
        <v>19</v>
      </c>
      <c r="E596" s="5" t="s">
        <v>132</v>
      </c>
      <c r="F596" s="5" t="s">
        <v>3</v>
      </c>
      <c r="G596" s="5" t="s">
        <v>99</v>
      </c>
      <c r="H596" s="5" t="s">
        <v>25</v>
      </c>
      <c r="I596" s="5"/>
      <c r="J596" s="5" t="s">
        <v>100</v>
      </c>
      <c r="K596" s="5"/>
      <c r="L596" s="5" t="s">
        <v>101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</row>
    <row r="597" spans="1:32" hidden="1" x14ac:dyDescent="0.2">
      <c r="A597">
        <v>2731</v>
      </c>
      <c r="B597">
        <v>1593</v>
      </c>
      <c r="C597">
        <v>1</v>
      </c>
      <c r="D597">
        <v>19</v>
      </c>
      <c r="E597" s="5" t="s">
        <v>132</v>
      </c>
      <c r="F597" s="5" t="s">
        <v>102</v>
      </c>
      <c r="G597" s="5" t="s">
        <v>99</v>
      </c>
      <c r="H597" s="5" t="s">
        <v>25</v>
      </c>
      <c r="I597" s="5"/>
      <c r="J597" s="5" t="s">
        <v>103</v>
      </c>
      <c r="K597" s="5"/>
      <c r="L597" s="5" t="s">
        <v>101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</row>
    <row r="598" spans="1:32" hidden="1" x14ac:dyDescent="0.2">
      <c r="A598">
        <v>2731</v>
      </c>
      <c r="B598">
        <v>2148</v>
      </c>
      <c r="C598">
        <v>1</v>
      </c>
      <c r="D598">
        <v>16</v>
      </c>
      <c r="E598" s="5" t="s">
        <v>132</v>
      </c>
      <c r="F598" s="5" t="s">
        <v>3</v>
      </c>
      <c r="G598" s="5" t="s">
        <v>99</v>
      </c>
      <c r="H598" s="5" t="s">
        <v>27</v>
      </c>
      <c r="I598" s="5"/>
      <c r="J598" s="5" t="s">
        <v>100</v>
      </c>
      <c r="K598" s="5"/>
      <c r="L598" s="5" t="s">
        <v>101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</row>
    <row r="599" spans="1:32" hidden="1" x14ac:dyDescent="0.2">
      <c r="A599">
        <v>2731</v>
      </c>
      <c r="B599">
        <v>1593</v>
      </c>
      <c r="C599">
        <v>1</v>
      </c>
      <c r="D599">
        <v>16</v>
      </c>
      <c r="E599" s="5" t="s">
        <v>132</v>
      </c>
      <c r="F599" s="5" t="s">
        <v>102</v>
      </c>
      <c r="G599" s="5" t="s">
        <v>99</v>
      </c>
      <c r="H599" s="5" t="s">
        <v>27</v>
      </c>
      <c r="I599" s="5"/>
      <c r="J599" s="5" t="s">
        <v>103</v>
      </c>
      <c r="K599" s="5"/>
      <c r="L599" s="5" t="s">
        <v>101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</row>
    <row r="600" spans="1:32" hidden="1" x14ac:dyDescent="0.2">
      <c r="A600">
        <v>2731</v>
      </c>
      <c r="B600">
        <v>2148</v>
      </c>
      <c r="C600">
        <v>1</v>
      </c>
      <c r="D600">
        <v>11</v>
      </c>
      <c r="E600" s="5" t="s">
        <v>132</v>
      </c>
      <c r="F600" s="5" t="s">
        <v>3</v>
      </c>
      <c r="G600" s="5" t="s">
        <v>99</v>
      </c>
      <c r="H600" s="5" t="s">
        <v>28</v>
      </c>
      <c r="I600" s="5"/>
      <c r="J600" s="5" t="s">
        <v>100</v>
      </c>
      <c r="K600" s="5"/>
      <c r="L600" s="5" t="s">
        <v>101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9564.31</v>
      </c>
      <c r="AC600" s="5">
        <v>10223.780000000001</v>
      </c>
      <c r="AD600" s="5">
        <v>10932.56</v>
      </c>
      <c r="AE600" s="5">
        <v>14150</v>
      </c>
      <c r="AF600" s="5">
        <v>13400</v>
      </c>
    </row>
    <row r="601" spans="1:32" hidden="1" x14ac:dyDescent="0.2">
      <c r="A601">
        <v>2731</v>
      </c>
      <c r="B601">
        <v>1593</v>
      </c>
      <c r="C601">
        <v>1</v>
      </c>
      <c r="D601">
        <v>11</v>
      </c>
      <c r="E601" s="5" t="s">
        <v>132</v>
      </c>
      <c r="F601" s="5" t="s">
        <v>102</v>
      </c>
      <c r="G601" s="5" t="s">
        <v>99</v>
      </c>
      <c r="H601" s="5" t="s">
        <v>28</v>
      </c>
      <c r="I601" s="5"/>
      <c r="J601" s="5" t="s">
        <v>103</v>
      </c>
      <c r="K601" s="5"/>
      <c r="L601" s="5" t="s">
        <v>101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1930.58</v>
      </c>
      <c r="AC601" s="5">
        <v>1959.18</v>
      </c>
      <c r="AD601" s="5">
        <v>2024.55</v>
      </c>
      <c r="AE601" s="5">
        <v>4430</v>
      </c>
      <c r="AF601" s="5">
        <v>4350</v>
      </c>
    </row>
    <row r="602" spans="1:32" hidden="1" x14ac:dyDescent="0.2">
      <c r="A602">
        <v>2731</v>
      </c>
      <c r="B602">
        <v>2148</v>
      </c>
      <c r="C602">
        <v>1</v>
      </c>
      <c r="D602">
        <v>14</v>
      </c>
      <c r="E602" s="5" t="s">
        <v>132</v>
      </c>
      <c r="F602" s="5" t="s">
        <v>3</v>
      </c>
      <c r="G602" s="5" t="s">
        <v>99</v>
      </c>
      <c r="H602" s="5" t="s">
        <v>1</v>
      </c>
      <c r="I602" s="5"/>
      <c r="J602" s="5" t="s">
        <v>100</v>
      </c>
      <c r="K602" s="5"/>
      <c r="L602" s="5" t="s">
        <v>101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</row>
    <row r="603" spans="1:32" hidden="1" x14ac:dyDescent="0.2">
      <c r="A603">
        <v>2731</v>
      </c>
      <c r="B603">
        <v>1593</v>
      </c>
      <c r="C603">
        <v>1</v>
      </c>
      <c r="D603">
        <v>14</v>
      </c>
      <c r="E603" s="5" t="s">
        <v>132</v>
      </c>
      <c r="F603" s="5" t="s">
        <v>102</v>
      </c>
      <c r="G603" s="5" t="s">
        <v>99</v>
      </c>
      <c r="H603" s="5" t="s">
        <v>1</v>
      </c>
      <c r="I603" s="5"/>
      <c r="J603" s="5" t="s">
        <v>103</v>
      </c>
      <c r="K603" s="5"/>
      <c r="L603" s="5" t="s">
        <v>101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</row>
    <row r="604" spans="1:32" hidden="1" x14ac:dyDescent="0.2">
      <c r="A604">
        <v>14453</v>
      </c>
      <c r="B604">
        <v>2148</v>
      </c>
      <c r="C604">
        <v>1</v>
      </c>
      <c r="D604">
        <v>15</v>
      </c>
      <c r="E604" s="5" t="s">
        <v>133</v>
      </c>
      <c r="F604" s="5" t="s">
        <v>3</v>
      </c>
      <c r="G604" s="5" t="s">
        <v>99</v>
      </c>
      <c r="H604" s="5" t="s">
        <v>15</v>
      </c>
      <c r="I604" s="5"/>
      <c r="J604" s="5" t="s">
        <v>100</v>
      </c>
      <c r="K604" s="5"/>
      <c r="L604" s="5" t="s">
        <v>101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</row>
    <row r="605" spans="1:32" hidden="1" x14ac:dyDescent="0.2">
      <c r="A605">
        <v>14453</v>
      </c>
      <c r="B605">
        <v>1593</v>
      </c>
      <c r="C605">
        <v>1</v>
      </c>
      <c r="D605">
        <v>15</v>
      </c>
      <c r="E605" s="5" t="s">
        <v>133</v>
      </c>
      <c r="F605" s="5" t="s">
        <v>102</v>
      </c>
      <c r="G605" s="5" t="s">
        <v>99</v>
      </c>
      <c r="H605" s="5" t="s">
        <v>15</v>
      </c>
      <c r="I605" s="5"/>
      <c r="J605" s="5" t="s">
        <v>103</v>
      </c>
      <c r="K605" s="5"/>
      <c r="L605" s="5" t="s">
        <v>101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</row>
    <row r="606" spans="1:32" hidden="1" x14ac:dyDescent="0.2">
      <c r="A606">
        <v>14453</v>
      </c>
      <c r="B606">
        <v>2148</v>
      </c>
      <c r="C606">
        <v>1</v>
      </c>
      <c r="D606">
        <v>6</v>
      </c>
      <c r="E606" s="5" t="s">
        <v>133</v>
      </c>
      <c r="F606" s="5" t="s">
        <v>3</v>
      </c>
      <c r="G606" s="5" t="s">
        <v>99</v>
      </c>
      <c r="H606" s="5" t="s">
        <v>17</v>
      </c>
      <c r="I606" s="5"/>
      <c r="J606" s="5" t="s">
        <v>100</v>
      </c>
      <c r="K606" s="5"/>
      <c r="L606" s="5" t="s">
        <v>101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</row>
    <row r="607" spans="1:32" hidden="1" x14ac:dyDescent="0.2">
      <c r="A607">
        <v>14453</v>
      </c>
      <c r="B607">
        <v>1593</v>
      </c>
      <c r="C607">
        <v>1</v>
      </c>
      <c r="D607">
        <v>6</v>
      </c>
      <c r="E607" s="5" t="s">
        <v>133</v>
      </c>
      <c r="F607" s="5" t="s">
        <v>102</v>
      </c>
      <c r="G607" s="5" t="s">
        <v>99</v>
      </c>
      <c r="H607" s="5" t="s">
        <v>17</v>
      </c>
      <c r="I607" s="5"/>
      <c r="J607" s="5" t="s">
        <v>103</v>
      </c>
      <c r="K607" s="5"/>
      <c r="L607" s="5" t="s">
        <v>101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</row>
    <row r="608" spans="1:32" hidden="1" x14ac:dyDescent="0.2">
      <c r="A608">
        <v>14453</v>
      </c>
      <c r="B608">
        <v>2148</v>
      </c>
      <c r="C608">
        <v>1</v>
      </c>
      <c r="D608">
        <v>1</v>
      </c>
      <c r="E608" s="5" t="s">
        <v>133</v>
      </c>
      <c r="F608" s="5" t="s">
        <v>3</v>
      </c>
      <c r="G608" s="5" t="s">
        <v>99</v>
      </c>
      <c r="H608" s="5" t="s">
        <v>19</v>
      </c>
      <c r="I608" s="5"/>
      <c r="J608" s="5" t="s">
        <v>100</v>
      </c>
      <c r="K608" s="5"/>
      <c r="L608" s="5" t="s">
        <v>101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</row>
    <row r="609" spans="1:32" x14ac:dyDescent="0.2">
      <c r="A609">
        <v>14453</v>
      </c>
      <c r="B609">
        <v>1593</v>
      </c>
      <c r="C609">
        <v>1</v>
      </c>
      <c r="D609">
        <v>1</v>
      </c>
      <c r="E609" s="5" t="s">
        <v>133</v>
      </c>
      <c r="F609" s="5" t="s">
        <v>102</v>
      </c>
      <c r="G609" s="5" t="s">
        <v>99</v>
      </c>
      <c r="H609" s="5" t="s">
        <v>19</v>
      </c>
      <c r="I609" s="5"/>
      <c r="J609" s="5" t="s">
        <v>103</v>
      </c>
      <c r="K609" s="5"/>
      <c r="L609" s="5" t="s">
        <v>101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</row>
    <row r="610" spans="1:32" hidden="1" x14ac:dyDescent="0.2">
      <c r="A610">
        <v>14453</v>
      </c>
      <c r="B610">
        <v>2148</v>
      </c>
      <c r="C610">
        <v>1</v>
      </c>
      <c r="D610">
        <v>13</v>
      </c>
      <c r="E610" s="5" t="s">
        <v>133</v>
      </c>
      <c r="F610" s="5" t="s">
        <v>3</v>
      </c>
      <c r="G610" s="5" t="s">
        <v>99</v>
      </c>
      <c r="H610" s="5" t="s">
        <v>20</v>
      </c>
      <c r="I610" s="5"/>
      <c r="J610" s="5" t="s">
        <v>100</v>
      </c>
      <c r="K610" s="5"/>
      <c r="L610" s="5" t="s">
        <v>101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</row>
    <row r="611" spans="1:32" hidden="1" x14ac:dyDescent="0.2">
      <c r="A611">
        <v>14453</v>
      </c>
      <c r="B611">
        <v>1593</v>
      </c>
      <c r="C611">
        <v>1</v>
      </c>
      <c r="D611">
        <v>13</v>
      </c>
      <c r="E611" s="5" t="s">
        <v>133</v>
      </c>
      <c r="F611" s="5" t="s">
        <v>102</v>
      </c>
      <c r="G611" s="5" t="s">
        <v>99</v>
      </c>
      <c r="H611" s="5" t="s">
        <v>20</v>
      </c>
      <c r="I611" s="5"/>
      <c r="J611" s="5" t="s">
        <v>103</v>
      </c>
      <c r="K611" s="5"/>
      <c r="L611" s="5" t="s">
        <v>101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</row>
    <row r="612" spans="1:32" hidden="1" x14ac:dyDescent="0.2">
      <c r="A612">
        <v>14453</v>
      </c>
      <c r="B612">
        <v>2148</v>
      </c>
      <c r="C612">
        <v>1</v>
      </c>
      <c r="D612">
        <v>17</v>
      </c>
      <c r="E612" s="5" t="s">
        <v>133</v>
      </c>
      <c r="F612" s="5" t="s">
        <v>3</v>
      </c>
      <c r="G612" s="5" t="s">
        <v>99</v>
      </c>
      <c r="H612" s="5" t="s">
        <v>22</v>
      </c>
      <c r="I612" s="5"/>
      <c r="J612" s="5" t="s">
        <v>100</v>
      </c>
      <c r="K612" s="5"/>
      <c r="L612" s="5" t="s">
        <v>101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</row>
    <row r="613" spans="1:32" hidden="1" x14ac:dyDescent="0.2">
      <c r="A613">
        <v>14453</v>
      </c>
      <c r="B613">
        <v>1593</v>
      </c>
      <c r="C613">
        <v>1</v>
      </c>
      <c r="D613">
        <v>17</v>
      </c>
      <c r="E613" s="5" t="s">
        <v>133</v>
      </c>
      <c r="F613" s="5" t="s">
        <v>102</v>
      </c>
      <c r="G613" s="5" t="s">
        <v>99</v>
      </c>
      <c r="H613" s="5" t="s">
        <v>22</v>
      </c>
      <c r="I613" s="5"/>
      <c r="J613" s="5" t="s">
        <v>103</v>
      </c>
      <c r="K613" s="5"/>
      <c r="L613" s="5" t="s">
        <v>101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</row>
    <row r="614" spans="1:32" hidden="1" x14ac:dyDescent="0.2">
      <c r="A614">
        <v>14453</v>
      </c>
      <c r="B614">
        <v>2148</v>
      </c>
      <c r="C614">
        <v>1</v>
      </c>
      <c r="D614">
        <v>12</v>
      </c>
      <c r="E614" s="5" t="s">
        <v>133</v>
      </c>
      <c r="F614" s="5" t="s">
        <v>3</v>
      </c>
      <c r="G614" s="5" t="s">
        <v>99</v>
      </c>
      <c r="H614" s="5" t="s">
        <v>23</v>
      </c>
      <c r="I614" s="5"/>
      <c r="J614" s="5" t="s">
        <v>100</v>
      </c>
      <c r="K614" s="5"/>
      <c r="L614" s="5" t="s">
        <v>101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</row>
    <row r="615" spans="1:32" hidden="1" x14ac:dyDescent="0.2">
      <c r="A615">
        <v>14453</v>
      </c>
      <c r="B615">
        <v>1593</v>
      </c>
      <c r="C615">
        <v>1</v>
      </c>
      <c r="D615">
        <v>12</v>
      </c>
      <c r="E615" s="5" t="s">
        <v>133</v>
      </c>
      <c r="F615" s="5" t="s">
        <v>102</v>
      </c>
      <c r="G615" s="5" t="s">
        <v>99</v>
      </c>
      <c r="H615" s="5" t="s">
        <v>23</v>
      </c>
      <c r="I615" s="5"/>
      <c r="J615" s="5" t="s">
        <v>103</v>
      </c>
      <c r="K615" s="5"/>
      <c r="L615" s="5" t="s">
        <v>101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</row>
    <row r="616" spans="1:32" hidden="1" x14ac:dyDescent="0.2">
      <c r="A616">
        <v>14453</v>
      </c>
      <c r="B616">
        <v>2148</v>
      </c>
      <c r="C616">
        <v>1</v>
      </c>
      <c r="D616">
        <v>19</v>
      </c>
      <c r="E616" s="5" t="s">
        <v>133</v>
      </c>
      <c r="F616" s="5" t="s">
        <v>3</v>
      </c>
      <c r="G616" s="5" t="s">
        <v>99</v>
      </c>
      <c r="H616" s="5" t="s">
        <v>25</v>
      </c>
      <c r="I616" s="5"/>
      <c r="J616" s="5" t="s">
        <v>100</v>
      </c>
      <c r="K616" s="5"/>
      <c r="L616" s="5" t="s">
        <v>101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</row>
    <row r="617" spans="1:32" hidden="1" x14ac:dyDescent="0.2">
      <c r="A617">
        <v>14453</v>
      </c>
      <c r="B617">
        <v>1593</v>
      </c>
      <c r="C617">
        <v>1</v>
      </c>
      <c r="D617">
        <v>19</v>
      </c>
      <c r="E617" s="5" t="s">
        <v>133</v>
      </c>
      <c r="F617" s="5" t="s">
        <v>102</v>
      </c>
      <c r="G617" s="5" t="s">
        <v>99</v>
      </c>
      <c r="H617" s="5" t="s">
        <v>25</v>
      </c>
      <c r="I617" s="5"/>
      <c r="J617" s="5" t="s">
        <v>103</v>
      </c>
      <c r="K617" s="5"/>
      <c r="L617" s="5" t="s">
        <v>101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</row>
    <row r="618" spans="1:32" hidden="1" x14ac:dyDescent="0.2">
      <c r="A618">
        <v>14453</v>
      </c>
      <c r="B618">
        <v>2148</v>
      </c>
      <c r="C618">
        <v>1</v>
      </c>
      <c r="D618">
        <v>16</v>
      </c>
      <c r="E618" s="5" t="s">
        <v>133</v>
      </c>
      <c r="F618" s="5" t="s">
        <v>3</v>
      </c>
      <c r="G618" s="5" t="s">
        <v>99</v>
      </c>
      <c r="H618" s="5" t="s">
        <v>27</v>
      </c>
      <c r="I618" s="5"/>
      <c r="J618" s="5" t="s">
        <v>100</v>
      </c>
      <c r="K618" s="5"/>
      <c r="L618" s="5" t="s">
        <v>101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</row>
    <row r="619" spans="1:32" hidden="1" x14ac:dyDescent="0.2">
      <c r="A619">
        <v>14453</v>
      </c>
      <c r="B619">
        <v>1593</v>
      </c>
      <c r="C619">
        <v>1</v>
      </c>
      <c r="D619">
        <v>16</v>
      </c>
      <c r="E619" s="5" t="s">
        <v>133</v>
      </c>
      <c r="F619" s="5" t="s">
        <v>102</v>
      </c>
      <c r="G619" s="5" t="s">
        <v>99</v>
      </c>
      <c r="H619" s="5" t="s">
        <v>27</v>
      </c>
      <c r="I619" s="5"/>
      <c r="J619" s="5" t="s">
        <v>103</v>
      </c>
      <c r="K619" s="5"/>
      <c r="L619" s="5" t="s">
        <v>101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</row>
    <row r="620" spans="1:32" hidden="1" x14ac:dyDescent="0.2">
      <c r="A620">
        <v>14453</v>
      </c>
      <c r="B620">
        <v>2148</v>
      </c>
      <c r="C620">
        <v>1</v>
      </c>
      <c r="D620">
        <v>11</v>
      </c>
      <c r="E620" s="5" t="s">
        <v>133</v>
      </c>
      <c r="F620" s="5" t="s">
        <v>3</v>
      </c>
      <c r="G620" s="5" t="s">
        <v>99</v>
      </c>
      <c r="H620" s="5" t="s">
        <v>28</v>
      </c>
      <c r="I620" s="5"/>
      <c r="J620" s="5" t="s">
        <v>100</v>
      </c>
      <c r="K620" s="5"/>
      <c r="L620" s="5" t="s">
        <v>101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</row>
    <row r="621" spans="1:32" hidden="1" x14ac:dyDescent="0.2">
      <c r="A621">
        <v>14453</v>
      </c>
      <c r="B621">
        <v>1593</v>
      </c>
      <c r="C621">
        <v>1</v>
      </c>
      <c r="D621">
        <v>11</v>
      </c>
      <c r="E621" s="5" t="s">
        <v>133</v>
      </c>
      <c r="F621" s="5" t="s">
        <v>102</v>
      </c>
      <c r="G621" s="5" t="s">
        <v>99</v>
      </c>
      <c r="H621" s="5" t="s">
        <v>28</v>
      </c>
      <c r="I621" s="5"/>
      <c r="J621" s="5" t="s">
        <v>103</v>
      </c>
      <c r="K621" s="5"/>
      <c r="L621" s="5" t="s">
        <v>101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</row>
    <row r="622" spans="1:32" hidden="1" x14ac:dyDescent="0.2">
      <c r="A622">
        <v>14453</v>
      </c>
      <c r="B622">
        <v>2148</v>
      </c>
      <c r="C622">
        <v>1</v>
      </c>
      <c r="D622">
        <v>14</v>
      </c>
      <c r="E622" s="5" t="s">
        <v>133</v>
      </c>
      <c r="F622" s="5" t="s">
        <v>3</v>
      </c>
      <c r="G622" s="5" t="s">
        <v>99</v>
      </c>
      <c r="H622" s="5" t="s">
        <v>1</v>
      </c>
      <c r="I622" s="5"/>
      <c r="J622" s="5" t="s">
        <v>100</v>
      </c>
      <c r="K622" s="5"/>
      <c r="L622" s="5" t="s">
        <v>101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</row>
    <row r="623" spans="1:32" hidden="1" x14ac:dyDescent="0.2">
      <c r="A623">
        <v>14453</v>
      </c>
      <c r="B623">
        <v>1593</v>
      </c>
      <c r="C623">
        <v>1</v>
      </c>
      <c r="D623">
        <v>14</v>
      </c>
      <c r="E623" s="5" t="s">
        <v>133</v>
      </c>
      <c r="F623" s="5" t="s">
        <v>102</v>
      </c>
      <c r="G623" s="5" t="s">
        <v>99</v>
      </c>
      <c r="H623" s="5" t="s">
        <v>1</v>
      </c>
      <c r="I623" s="5"/>
      <c r="J623" s="5" t="s">
        <v>103</v>
      </c>
      <c r="K623" s="5"/>
      <c r="L623" s="5" t="s">
        <v>101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</row>
    <row r="624" spans="1:32" hidden="1" x14ac:dyDescent="0.2">
      <c r="A624">
        <v>2907</v>
      </c>
      <c r="B624">
        <v>2148</v>
      </c>
      <c r="C624">
        <v>1</v>
      </c>
      <c r="D624">
        <v>15</v>
      </c>
      <c r="E624" s="5" t="s">
        <v>134</v>
      </c>
      <c r="F624" s="5" t="s">
        <v>3</v>
      </c>
      <c r="G624" s="5" t="s">
        <v>99</v>
      </c>
      <c r="H624" s="5" t="s">
        <v>15</v>
      </c>
      <c r="I624" s="5"/>
      <c r="J624" s="5" t="s">
        <v>100</v>
      </c>
      <c r="K624" s="5"/>
      <c r="L624" s="5" t="s">
        <v>101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</row>
    <row r="625" spans="1:32" hidden="1" x14ac:dyDescent="0.2">
      <c r="A625">
        <v>2907</v>
      </c>
      <c r="B625">
        <v>1593</v>
      </c>
      <c r="C625">
        <v>1</v>
      </c>
      <c r="D625">
        <v>15</v>
      </c>
      <c r="E625" s="5" t="s">
        <v>134</v>
      </c>
      <c r="F625" s="5" t="s">
        <v>102</v>
      </c>
      <c r="G625" s="5" t="s">
        <v>99</v>
      </c>
      <c r="H625" s="5" t="s">
        <v>15</v>
      </c>
      <c r="I625" s="5"/>
      <c r="J625" s="5" t="s">
        <v>103</v>
      </c>
      <c r="K625" s="5"/>
      <c r="L625" s="5" t="s">
        <v>101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</row>
    <row r="626" spans="1:32" hidden="1" x14ac:dyDescent="0.2">
      <c r="A626">
        <v>2907</v>
      </c>
      <c r="B626">
        <v>2148</v>
      </c>
      <c r="C626">
        <v>1</v>
      </c>
      <c r="D626">
        <v>6</v>
      </c>
      <c r="E626" s="5" t="s">
        <v>134</v>
      </c>
      <c r="F626" s="5" t="s">
        <v>3</v>
      </c>
      <c r="G626" s="5" t="s">
        <v>99</v>
      </c>
      <c r="H626" s="5" t="s">
        <v>17</v>
      </c>
      <c r="I626" s="5"/>
      <c r="J626" s="5" t="s">
        <v>100</v>
      </c>
      <c r="K626" s="5"/>
      <c r="L626" s="5" t="s">
        <v>101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</row>
    <row r="627" spans="1:32" hidden="1" x14ac:dyDescent="0.2">
      <c r="A627">
        <v>2907</v>
      </c>
      <c r="B627">
        <v>1593</v>
      </c>
      <c r="C627">
        <v>1</v>
      </c>
      <c r="D627">
        <v>6</v>
      </c>
      <c r="E627" s="5" t="s">
        <v>134</v>
      </c>
      <c r="F627" s="5" t="s">
        <v>102</v>
      </c>
      <c r="G627" s="5" t="s">
        <v>99</v>
      </c>
      <c r="H627" s="5" t="s">
        <v>17</v>
      </c>
      <c r="I627" s="5"/>
      <c r="J627" s="5" t="s">
        <v>103</v>
      </c>
      <c r="K627" s="5"/>
      <c r="L627" s="5" t="s">
        <v>101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</row>
    <row r="628" spans="1:32" hidden="1" x14ac:dyDescent="0.2">
      <c r="A628">
        <v>2907</v>
      </c>
      <c r="B628">
        <v>2148</v>
      </c>
      <c r="C628">
        <v>1</v>
      </c>
      <c r="D628">
        <v>1</v>
      </c>
      <c r="E628" s="5" t="s">
        <v>134</v>
      </c>
      <c r="F628" s="5" t="s">
        <v>3</v>
      </c>
      <c r="G628" s="5" t="s">
        <v>99</v>
      </c>
      <c r="H628" s="5" t="s">
        <v>19</v>
      </c>
      <c r="I628" s="5"/>
      <c r="J628" s="5" t="s">
        <v>100</v>
      </c>
      <c r="K628" s="5"/>
      <c r="L628" s="5" t="s">
        <v>101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478</v>
      </c>
      <c r="AA628" s="5">
        <v>618</v>
      </c>
      <c r="AB628" s="5">
        <v>799</v>
      </c>
      <c r="AC628" s="5">
        <v>940</v>
      </c>
      <c r="AD628" s="5">
        <v>1044</v>
      </c>
      <c r="AE628" s="5">
        <v>1012</v>
      </c>
      <c r="AF628" s="5">
        <v>1113</v>
      </c>
    </row>
    <row r="629" spans="1:32" x14ac:dyDescent="0.2">
      <c r="A629">
        <v>2907</v>
      </c>
      <c r="B629">
        <v>1593</v>
      </c>
      <c r="C629">
        <v>1</v>
      </c>
      <c r="D629">
        <v>1</v>
      </c>
      <c r="E629" s="5" t="s">
        <v>134</v>
      </c>
      <c r="F629" s="5" t="s">
        <v>102</v>
      </c>
      <c r="G629" s="5" t="s">
        <v>99</v>
      </c>
      <c r="H629" s="5" t="s">
        <v>19</v>
      </c>
      <c r="I629" s="5"/>
      <c r="J629" s="5" t="s">
        <v>103</v>
      </c>
      <c r="K629" s="5"/>
      <c r="L629" s="5" t="s">
        <v>101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12.8</v>
      </c>
      <c r="Z629" s="5">
        <v>108.61</v>
      </c>
      <c r="AA629" s="5">
        <v>112.41</v>
      </c>
      <c r="AB629" s="5">
        <v>117.82</v>
      </c>
      <c r="AC629" s="5">
        <v>134.79</v>
      </c>
      <c r="AD629" s="5">
        <v>149.41</v>
      </c>
      <c r="AE629" s="5">
        <v>155.93</v>
      </c>
      <c r="AF629" s="5">
        <v>157.25</v>
      </c>
    </row>
    <row r="630" spans="1:32" hidden="1" x14ac:dyDescent="0.2">
      <c r="A630">
        <v>2907</v>
      </c>
      <c r="B630">
        <v>2148</v>
      </c>
      <c r="C630">
        <v>1</v>
      </c>
      <c r="D630">
        <v>13</v>
      </c>
      <c r="E630" s="5" t="s">
        <v>134</v>
      </c>
      <c r="F630" s="5" t="s">
        <v>3</v>
      </c>
      <c r="G630" s="5" t="s">
        <v>99</v>
      </c>
      <c r="H630" s="5" t="s">
        <v>20</v>
      </c>
      <c r="I630" s="5"/>
      <c r="J630" s="5" t="s">
        <v>100</v>
      </c>
      <c r="K630" s="5"/>
      <c r="L630" s="5" t="s">
        <v>101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</row>
    <row r="631" spans="1:32" hidden="1" x14ac:dyDescent="0.2">
      <c r="A631">
        <v>2907</v>
      </c>
      <c r="B631">
        <v>1593</v>
      </c>
      <c r="C631">
        <v>1</v>
      </c>
      <c r="D631">
        <v>13</v>
      </c>
      <c r="E631" s="5" t="s">
        <v>134</v>
      </c>
      <c r="F631" s="5" t="s">
        <v>102</v>
      </c>
      <c r="G631" s="5" t="s">
        <v>99</v>
      </c>
      <c r="H631" s="5" t="s">
        <v>20</v>
      </c>
      <c r="I631" s="5"/>
      <c r="J631" s="5" t="s">
        <v>103</v>
      </c>
      <c r="K631" s="5"/>
      <c r="L631" s="5" t="s">
        <v>101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</row>
    <row r="632" spans="1:32" hidden="1" x14ac:dyDescent="0.2">
      <c r="A632">
        <v>2907</v>
      </c>
      <c r="B632">
        <v>2148</v>
      </c>
      <c r="C632">
        <v>1</v>
      </c>
      <c r="D632">
        <v>17</v>
      </c>
      <c r="E632" s="5" t="s">
        <v>134</v>
      </c>
      <c r="F632" s="5" t="s">
        <v>3</v>
      </c>
      <c r="G632" s="5" t="s">
        <v>99</v>
      </c>
      <c r="H632" s="5" t="s">
        <v>22</v>
      </c>
      <c r="I632" s="5"/>
      <c r="J632" s="5" t="s">
        <v>100</v>
      </c>
      <c r="K632" s="5"/>
      <c r="L632" s="5" t="s">
        <v>101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8</v>
      </c>
      <c r="U632" s="5">
        <v>6.9</v>
      </c>
      <c r="V632" s="5">
        <v>15.4</v>
      </c>
      <c r="W632" s="5">
        <v>44.7</v>
      </c>
      <c r="X632" s="5">
        <v>38.6</v>
      </c>
      <c r="Y632" s="5">
        <v>111.9</v>
      </c>
      <c r="Z632" s="5">
        <v>209.04</v>
      </c>
      <c r="AA632" s="5">
        <v>175.77</v>
      </c>
      <c r="AB632" s="5">
        <v>190.84</v>
      </c>
      <c r="AC632" s="5">
        <v>189.76</v>
      </c>
      <c r="AD632" s="5">
        <v>545</v>
      </c>
      <c r="AE632" s="5">
        <v>580</v>
      </c>
      <c r="AF632" s="5">
        <v>699</v>
      </c>
    </row>
    <row r="633" spans="1:32" hidden="1" x14ac:dyDescent="0.2">
      <c r="A633">
        <v>2907</v>
      </c>
      <c r="B633">
        <v>1593</v>
      </c>
      <c r="C633">
        <v>1</v>
      </c>
      <c r="D633">
        <v>17</v>
      </c>
      <c r="E633" s="5" t="s">
        <v>134</v>
      </c>
      <c r="F633" s="5" t="s">
        <v>102</v>
      </c>
      <c r="G633" s="5" t="s">
        <v>99</v>
      </c>
      <c r="H633" s="5" t="s">
        <v>22</v>
      </c>
      <c r="I633" s="5"/>
      <c r="J633" s="5" t="s">
        <v>103</v>
      </c>
      <c r="K633" s="5"/>
      <c r="L633" s="5" t="s">
        <v>101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10</v>
      </c>
      <c r="T633" s="5">
        <v>24</v>
      </c>
      <c r="U633" s="5">
        <v>24</v>
      </c>
      <c r="V633" s="5">
        <v>24</v>
      </c>
      <c r="W633" s="5">
        <v>80</v>
      </c>
      <c r="X633" s="5">
        <v>80</v>
      </c>
      <c r="Y633" s="5">
        <v>80</v>
      </c>
      <c r="Z633" s="5">
        <v>58.55</v>
      </c>
      <c r="AA633" s="5">
        <v>49.22</v>
      </c>
      <c r="AB633" s="5">
        <v>70.45</v>
      </c>
      <c r="AC633" s="5">
        <v>59.24</v>
      </c>
      <c r="AD633" s="5">
        <v>148.22999999999999</v>
      </c>
      <c r="AE633" s="5">
        <v>81</v>
      </c>
      <c r="AF633" s="5">
        <v>81.900000000000006</v>
      </c>
    </row>
    <row r="634" spans="1:32" hidden="1" x14ac:dyDescent="0.2">
      <c r="A634">
        <v>2907</v>
      </c>
      <c r="B634">
        <v>2148</v>
      </c>
      <c r="C634">
        <v>1</v>
      </c>
      <c r="D634">
        <v>12</v>
      </c>
      <c r="E634" s="5" t="s">
        <v>134</v>
      </c>
      <c r="F634" s="5" t="s">
        <v>3</v>
      </c>
      <c r="G634" s="5" t="s">
        <v>99</v>
      </c>
      <c r="H634" s="5" t="s">
        <v>23</v>
      </c>
      <c r="I634" s="5"/>
      <c r="J634" s="5" t="s">
        <v>100</v>
      </c>
      <c r="K634" s="5"/>
      <c r="L634" s="5" t="s">
        <v>101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</row>
    <row r="635" spans="1:32" hidden="1" x14ac:dyDescent="0.2">
      <c r="A635">
        <v>2907</v>
      </c>
      <c r="B635">
        <v>1593</v>
      </c>
      <c r="C635">
        <v>1</v>
      </c>
      <c r="D635">
        <v>12</v>
      </c>
      <c r="E635" s="5" t="s">
        <v>134</v>
      </c>
      <c r="F635" s="5" t="s">
        <v>102</v>
      </c>
      <c r="G635" s="5" t="s">
        <v>99</v>
      </c>
      <c r="H635" s="5" t="s">
        <v>23</v>
      </c>
      <c r="I635" s="5"/>
      <c r="J635" s="5" t="s">
        <v>103</v>
      </c>
      <c r="K635" s="5"/>
      <c r="L635" s="5" t="s">
        <v>101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</row>
    <row r="636" spans="1:32" hidden="1" x14ac:dyDescent="0.2">
      <c r="A636">
        <v>2907</v>
      </c>
      <c r="B636">
        <v>2148</v>
      </c>
      <c r="C636">
        <v>1</v>
      </c>
      <c r="D636">
        <v>19</v>
      </c>
      <c r="E636" s="5" t="s">
        <v>134</v>
      </c>
      <c r="F636" s="5" t="s">
        <v>3</v>
      </c>
      <c r="G636" s="5" t="s">
        <v>99</v>
      </c>
      <c r="H636" s="5" t="s">
        <v>25</v>
      </c>
      <c r="I636" s="5"/>
      <c r="J636" s="5" t="s">
        <v>100</v>
      </c>
      <c r="K636" s="5"/>
      <c r="L636" s="5" t="s">
        <v>101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</row>
    <row r="637" spans="1:32" hidden="1" x14ac:dyDescent="0.2">
      <c r="A637">
        <v>2907</v>
      </c>
      <c r="B637">
        <v>1593</v>
      </c>
      <c r="C637">
        <v>1</v>
      </c>
      <c r="D637">
        <v>19</v>
      </c>
      <c r="E637" s="5" t="s">
        <v>134</v>
      </c>
      <c r="F637" s="5" t="s">
        <v>102</v>
      </c>
      <c r="G637" s="5" t="s">
        <v>99</v>
      </c>
      <c r="H637" s="5" t="s">
        <v>25</v>
      </c>
      <c r="I637" s="5"/>
      <c r="J637" s="5" t="s">
        <v>103</v>
      </c>
      <c r="K637" s="5"/>
      <c r="L637" s="5" t="s">
        <v>101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</row>
    <row r="638" spans="1:32" hidden="1" x14ac:dyDescent="0.2">
      <c r="A638">
        <v>2907</v>
      </c>
      <c r="B638">
        <v>2148</v>
      </c>
      <c r="C638">
        <v>1</v>
      </c>
      <c r="D638">
        <v>16</v>
      </c>
      <c r="E638" s="5" t="s">
        <v>134</v>
      </c>
      <c r="F638" s="5" t="s">
        <v>3</v>
      </c>
      <c r="G638" s="5" t="s">
        <v>99</v>
      </c>
      <c r="H638" s="5" t="s">
        <v>27</v>
      </c>
      <c r="I638" s="5"/>
      <c r="J638" s="5" t="s">
        <v>100</v>
      </c>
      <c r="K638" s="5"/>
      <c r="L638" s="5" t="s">
        <v>101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</row>
    <row r="639" spans="1:32" hidden="1" x14ac:dyDescent="0.2">
      <c r="A639">
        <v>2907</v>
      </c>
      <c r="B639">
        <v>1593</v>
      </c>
      <c r="C639">
        <v>1</v>
      </c>
      <c r="D639">
        <v>16</v>
      </c>
      <c r="E639" s="5" t="s">
        <v>134</v>
      </c>
      <c r="F639" s="5" t="s">
        <v>102</v>
      </c>
      <c r="G639" s="5" t="s">
        <v>99</v>
      </c>
      <c r="H639" s="5" t="s">
        <v>27</v>
      </c>
      <c r="I639" s="5"/>
      <c r="J639" s="5" t="s">
        <v>103</v>
      </c>
      <c r="K639" s="5"/>
      <c r="L639" s="5" t="s">
        <v>101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</row>
    <row r="640" spans="1:32" hidden="1" x14ac:dyDescent="0.2">
      <c r="A640">
        <v>2907</v>
      </c>
      <c r="B640">
        <v>2148</v>
      </c>
      <c r="C640">
        <v>1</v>
      </c>
      <c r="D640">
        <v>11</v>
      </c>
      <c r="E640" s="5" t="s">
        <v>134</v>
      </c>
      <c r="F640" s="5" t="s">
        <v>3</v>
      </c>
      <c r="G640" s="5" t="s">
        <v>99</v>
      </c>
      <c r="H640" s="5" t="s">
        <v>28</v>
      </c>
      <c r="I640" s="5"/>
      <c r="J640" s="5" t="s">
        <v>100</v>
      </c>
      <c r="K640" s="5"/>
      <c r="L640" s="5" t="s">
        <v>101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231</v>
      </c>
      <c r="U640" s="5">
        <v>918.5</v>
      </c>
      <c r="V640" s="5">
        <v>921.8</v>
      </c>
      <c r="W640" s="5">
        <v>1400.9</v>
      </c>
      <c r="X640" s="5">
        <v>2144.6</v>
      </c>
      <c r="Y640" s="5">
        <v>3610.8</v>
      </c>
      <c r="Z640" s="5">
        <v>3610.8</v>
      </c>
      <c r="AA640" s="5">
        <v>3610.8</v>
      </c>
      <c r="AB640" s="5">
        <v>829.06</v>
      </c>
      <c r="AC640" s="5">
        <v>828.72</v>
      </c>
      <c r="AD640" s="5">
        <v>864.82</v>
      </c>
      <c r="AE640" s="5">
        <v>864.82</v>
      </c>
      <c r="AF640" s="5">
        <v>864.82</v>
      </c>
    </row>
    <row r="641" spans="1:32" hidden="1" x14ac:dyDescent="0.2">
      <c r="A641">
        <v>2907</v>
      </c>
      <c r="B641">
        <v>1593</v>
      </c>
      <c r="C641">
        <v>1</v>
      </c>
      <c r="D641">
        <v>11</v>
      </c>
      <c r="E641" s="5" t="s">
        <v>134</v>
      </c>
      <c r="F641" s="5" t="s">
        <v>102</v>
      </c>
      <c r="G641" s="5" t="s">
        <v>99</v>
      </c>
      <c r="H641" s="5" t="s">
        <v>28</v>
      </c>
      <c r="I641" s="5"/>
      <c r="J641" s="5" t="s">
        <v>103</v>
      </c>
      <c r="K641" s="5"/>
      <c r="L641" s="5" t="s">
        <v>101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344</v>
      </c>
      <c r="U641" s="5">
        <v>353</v>
      </c>
      <c r="V641" s="5">
        <v>353</v>
      </c>
      <c r="W641" s="5">
        <v>353</v>
      </c>
      <c r="X641" s="5">
        <v>353</v>
      </c>
      <c r="Y641" s="5">
        <v>353</v>
      </c>
      <c r="Z641" s="5">
        <v>353</v>
      </c>
      <c r="AA641" s="5">
        <v>353</v>
      </c>
      <c r="AB641" s="5">
        <v>348.73</v>
      </c>
      <c r="AC641" s="5">
        <v>348.73</v>
      </c>
      <c r="AD641" s="5">
        <v>310.19</v>
      </c>
      <c r="AE641" s="5">
        <v>310.19</v>
      </c>
      <c r="AF641" s="5">
        <v>310.19</v>
      </c>
    </row>
    <row r="642" spans="1:32" hidden="1" x14ac:dyDescent="0.2">
      <c r="A642">
        <v>2907</v>
      </c>
      <c r="B642">
        <v>2148</v>
      </c>
      <c r="C642">
        <v>1</v>
      </c>
      <c r="D642">
        <v>14</v>
      </c>
      <c r="E642" s="5" t="s">
        <v>134</v>
      </c>
      <c r="F642" s="5" t="s">
        <v>3</v>
      </c>
      <c r="G642" s="5" t="s">
        <v>99</v>
      </c>
      <c r="H642" s="5" t="s">
        <v>1</v>
      </c>
      <c r="I642" s="5"/>
      <c r="J642" s="5" t="s">
        <v>100</v>
      </c>
      <c r="K642" s="5"/>
      <c r="L642" s="5" t="s">
        <v>101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</row>
    <row r="643" spans="1:32" hidden="1" x14ac:dyDescent="0.2">
      <c r="A643">
        <v>2907</v>
      </c>
      <c r="B643">
        <v>1593</v>
      </c>
      <c r="C643">
        <v>1</v>
      </c>
      <c r="D643">
        <v>14</v>
      </c>
      <c r="E643" s="5" t="s">
        <v>134</v>
      </c>
      <c r="F643" s="5" t="s">
        <v>102</v>
      </c>
      <c r="G643" s="5" t="s">
        <v>99</v>
      </c>
      <c r="H643" s="5" t="s">
        <v>1</v>
      </c>
      <c r="I643" s="5"/>
      <c r="J643" s="5" t="s">
        <v>103</v>
      </c>
      <c r="K643" s="5"/>
      <c r="L643" s="5" t="s">
        <v>101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</row>
    <row r="644" spans="1:32" hidden="1" x14ac:dyDescent="0.2">
      <c r="A644">
        <v>2890</v>
      </c>
      <c r="B644">
        <v>2148</v>
      </c>
      <c r="C644">
        <v>1</v>
      </c>
      <c r="D644">
        <v>15</v>
      </c>
      <c r="E644" s="5" t="s">
        <v>135</v>
      </c>
      <c r="F644" s="5" t="s">
        <v>3</v>
      </c>
      <c r="G644" s="5" t="s">
        <v>99</v>
      </c>
      <c r="H644" s="5" t="s">
        <v>15</v>
      </c>
      <c r="I644" s="5"/>
      <c r="J644" s="5" t="s">
        <v>100</v>
      </c>
      <c r="K644" s="5"/>
      <c r="L644" s="5" t="s">
        <v>101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</row>
    <row r="645" spans="1:32" hidden="1" x14ac:dyDescent="0.2">
      <c r="A645">
        <v>2890</v>
      </c>
      <c r="B645">
        <v>1593</v>
      </c>
      <c r="C645">
        <v>1</v>
      </c>
      <c r="D645">
        <v>15</v>
      </c>
      <c r="E645" s="5" t="s">
        <v>135</v>
      </c>
      <c r="F645" s="5" t="s">
        <v>102</v>
      </c>
      <c r="G645" s="5" t="s">
        <v>99</v>
      </c>
      <c r="H645" s="5" t="s">
        <v>15</v>
      </c>
      <c r="I645" s="5"/>
      <c r="J645" s="5" t="s">
        <v>103</v>
      </c>
      <c r="K645" s="5"/>
      <c r="L645" s="5" t="s">
        <v>101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</row>
    <row r="646" spans="1:32" hidden="1" x14ac:dyDescent="0.2">
      <c r="A646">
        <v>2890</v>
      </c>
      <c r="B646">
        <v>2148</v>
      </c>
      <c r="C646">
        <v>1</v>
      </c>
      <c r="D646">
        <v>6</v>
      </c>
      <c r="E646" s="5" t="s">
        <v>135</v>
      </c>
      <c r="F646" s="5" t="s">
        <v>3</v>
      </c>
      <c r="G646" s="5" t="s">
        <v>99</v>
      </c>
      <c r="H646" s="5" t="s">
        <v>17</v>
      </c>
      <c r="I646" s="5"/>
      <c r="J646" s="5" t="s">
        <v>100</v>
      </c>
      <c r="K646" s="5"/>
      <c r="L646" s="5" t="s">
        <v>101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</row>
    <row r="647" spans="1:32" hidden="1" x14ac:dyDescent="0.2">
      <c r="A647">
        <v>2890</v>
      </c>
      <c r="B647">
        <v>1593</v>
      </c>
      <c r="C647">
        <v>1</v>
      </c>
      <c r="D647">
        <v>6</v>
      </c>
      <c r="E647" s="5" t="s">
        <v>135</v>
      </c>
      <c r="F647" s="5" t="s">
        <v>102</v>
      </c>
      <c r="G647" s="5" t="s">
        <v>99</v>
      </c>
      <c r="H647" s="5" t="s">
        <v>17</v>
      </c>
      <c r="I647" s="5"/>
      <c r="J647" s="5" t="s">
        <v>103</v>
      </c>
      <c r="K647" s="5"/>
      <c r="L647" s="5" t="s">
        <v>101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</row>
    <row r="648" spans="1:32" hidden="1" x14ac:dyDescent="0.2">
      <c r="A648">
        <v>2890</v>
      </c>
      <c r="B648">
        <v>2148</v>
      </c>
      <c r="C648">
        <v>1</v>
      </c>
      <c r="D648">
        <v>1</v>
      </c>
      <c r="E648" s="5" t="s">
        <v>135</v>
      </c>
      <c r="F648" s="5" t="s">
        <v>3</v>
      </c>
      <c r="G648" s="5" t="s">
        <v>99</v>
      </c>
      <c r="H648" s="5" t="s">
        <v>19</v>
      </c>
      <c r="I648" s="5"/>
      <c r="J648" s="5" t="s">
        <v>100</v>
      </c>
      <c r="K648" s="5"/>
      <c r="L648" s="5" t="s">
        <v>101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30.9</v>
      </c>
      <c r="T648" s="5">
        <v>30.9</v>
      </c>
      <c r="U648" s="5">
        <v>40.799999999999997</v>
      </c>
      <c r="V648" s="5">
        <v>35.5</v>
      </c>
      <c r="W648" s="5">
        <v>19.399999999999999</v>
      </c>
      <c r="X648" s="5">
        <v>5.9</v>
      </c>
      <c r="Y648" s="5">
        <v>590.4</v>
      </c>
      <c r="Z648" s="5">
        <v>622</v>
      </c>
      <c r="AA648" s="5">
        <v>21</v>
      </c>
      <c r="AB648" s="5">
        <v>17</v>
      </c>
      <c r="AC648" s="5">
        <v>11</v>
      </c>
      <c r="AD648" s="5">
        <v>44</v>
      </c>
      <c r="AE648" s="5">
        <v>61</v>
      </c>
      <c r="AF648" s="5">
        <v>60</v>
      </c>
    </row>
    <row r="649" spans="1:32" x14ac:dyDescent="0.2">
      <c r="A649">
        <v>2890</v>
      </c>
      <c r="B649">
        <v>1593</v>
      </c>
      <c r="C649">
        <v>1</v>
      </c>
      <c r="D649">
        <v>1</v>
      </c>
      <c r="E649" s="5" t="s">
        <v>135</v>
      </c>
      <c r="F649" s="5" t="s">
        <v>102</v>
      </c>
      <c r="G649" s="5" t="s">
        <v>99</v>
      </c>
      <c r="H649" s="5" t="s">
        <v>19</v>
      </c>
      <c r="I649" s="5"/>
      <c r="J649" s="5" t="s">
        <v>103</v>
      </c>
      <c r="K649" s="5"/>
      <c r="L649" s="5" t="s">
        <v>101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26</v>
      </c>
      <c r="T649" s="5">
        <v>26</v>
      </c>
      <c r="U649" s="5">
        <v>26</v>
      </c>
      <c r="V649" s="5">
        <v>36</v>
      </c>
      <c r="W649" s="5">
        <v>15.65</v>
      </c>
      <c r="X649" s="5">
        <v>15.65</v>
      </c>
      <c r="Y649" s="5">
        <v>15.65</v>
      </c>
      <c r="Z649" s="5">
        <v>15.65</v>
      </c>
      <c r="AA649" s="5">
        <v>15.65</v>
      </c>
      <c r="AB649" s="5">
        <v>15.65</v>
      </c>
      <c r="AC649" s="5">
        <v>28.45</v>
      </c>
      <c r="AD649" s="5">
        <v>24.45</v>
      </c>
      <c r="AE649" s="5">
        <v>36.47</v>
      </c>
      <c r="AF649" s="5">
        <v>36.47</v>
      </c>
    </row>
    <row r="650" spans="1:32" hidden="1" x14ac:dyDescent="0.2">
      <c r="A650">
        <v>2890</v>
      </c>
      <c r="B650">
        <v>2148</v>
      </c>
      <c r="C650">
        <v>1</v>
      </c>
      <c r="D650">
        <v>13</v>
      </c>
      <c r="E650" s="5" t="s">
        <v>135</v>
      </c>
      <c r="F650" s="5" t="s">
        <v>3</v>
      </c>
      <c r="G650" s="5" t="s">
        <v>99</v>
      </c>
      <c r="H650" s="5" t="s">
        <v>20</v>
      </c>
      <c r="I650" s="5"/>
      <c r="J650" s="5" t="s">
        <v>100</v>
      </c>
      <c r="K650" s="5"/>
      <c r="L650" s="5" t="s">
        <v>101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</row>
    <row r="651" spans="1:32" hidden="1" x14ac:dyDescent="0.2">
      <c r="A651">
        <v>2890</v>
      </c>
      <c r="B651">
        <v>1593</v>
      </c>
      <c r="C651">
        <v>1</v>
      </c>
      <c r="D651">
        <v>13</v>
      </c>
      <c r="E651" s="5" t="s">
        <v>135</v>
      </c>
      <c r="F651" s="5" t="s">
        <v>102</v>
      </c>
      <c r="G651" s="5" t="s">
        <v>99</v>
      </c>
      <c r="H651" s="5" t="s">
        <v>20</v>
      </c>
      <c r="I651" s="5"/>
      <c r="J651" s="5" t="s">
        <v>103</v>
      </c>
      <c r="K651" s="5"/>
      <c r="L651" s="5" t="s">
        <v>101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</row>
    <row r="652" spans="1:32" hidden="1" x14ac:dyDescent="0.2">
      <c r="A652">
        <v>2890</v>
      </c>
      <c r="B652">
        <v>2148</v>
      </c>
      <c r="C652">
        <v>1</v>
      </c>
      <c r="D652">
        <v>17</v>
      </c>
      <c r="E652" s="5" t="s">
        <v>135</v>
      </c>
      <c r="F652" s="5" t="s">
        <v>3</v>
      </c>
      <c r="G652" s="5" t="s">
        <v>99</v>
      </c>
      <c r="H652" s="5" t="s">
        <v>22</v>
      </c>
      <c r="I652" s="5"/>
      <c r="J652" s="5" t="s">
        <v>100</v>
      </c>
      <c r="K652" s="5"/>
      <c r="L652" s="5" t="s">
        <v>101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</row>
    <row r="653" spans="1:32" hidden="1" x14ac:dyDescent="0.2">
      <c r="A653">
        <v>2890</v>
      </c>
      <c r="B653">
        <v>1593</v>
      </c>
      <c r="C653">
        <v>1</v>
      </c>
      <c r="D653">
        <v>17</v>
      </c>
      <c r="E653" s="5" t="s">
        <v>135</v>
      </c>
      <c r="F653" s="5" t="s">
        <v>102</v>
      </c>
      <c r="G653" s="5" t="s">
        <v>99</v>
      </c>
      <c r="H653" s="5" t="s">
        <v>22</v>
      </c>
      <c r="I653" s="5"/>
      <c r="J653" s="5" t="s">
        <v>103</v>
      </c>
      <c r="K653" s="5"/>
      <c r="L653" s="5" t="s">
        <v>101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</row>
    <row r="654" spans="1:32" hidden="1" x14ac:dyDescent="0.2">
      <c r="A654">
        <v>2890</v>
      </c>
      <c r="B654">
        <v>2148</v>
      </c>
      <c r="C654">
        <v>1</v>
      </c>
      <c r="D654">
        <v>12</v>
      </c>
      <c r="E654" s="5" t="s">
        <v>135</v>
      </c>
      <c r="F654" s="5" t="s">
        <v>3</v>
      </c>
      <c r="G654" s="5" t="s">
        <v>99</v>
      </c>
      <c r="H654" s="5" t="s">
        <v>23</v>
      </c>
      <c r="I654" s="5"/>
      <c r="J654" s="5" t="s">
        <v>100</v>
      </c>
      <c r="K654" s="5"/>
      <c r="L654" s="5" t="s">
        <v>101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</row>
    <row r="655" spans="1:32" hidden="1" x14ac:dyDescent="0.2">
      <c r="A655">
        <v>2890</v>
      </c>
      <c r="B655">
        <v>1593</v>
      </c>
      <c r="C655">
        <v>1</v>
      </c>
      <c r="D655">
        <v>12</v>
      </c>
      <c r="E655" s="5" t="s">
        <v>135</v>
      </c>
      <c r="F655" s="5" t="s">
        <v>102</v>
      </c>
      <c r="G655" s="5" t="s">
        <v>99</v>
      </c>
      <c r="H655" s="5" t="s">
        <v>23</v>
      </c>
      <c r="I655" s="5"/>
      <c r="J655" s="5" t="s">
        <v>103</v>
      </c>
      <c r="K655" s="5"/>
      <c r="L655" s="5" t="s">
        <v>101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</row>
    <row r="656" spans="1:32" hidden="1" x14ac:dyDescent="0.2">
      <c r="A656">
        <v>2890</v>
      </c>
      <c r="B656">
        <v>2148</v>
      </c>
      <c r="C656">
        <v>1</v>
      </c>
      <c r="D656">
        <v>19</v>
      </c>
      <c r="E656" s="5" t="s">
        <v>135</v>
      </c>
      <c r="F656" s="5" t="s">
        <v>3</v>
      </c>
      <c r="G656" s="5" t="s">
        <v>99</v>
      </c>
      <c r="H656" s="5" t="s">
        <v>25</v>
      </c>
      <c r="I656" s="5"/>
      <c r="J656" s="5" t="s">
        <v>100</v>
      </c>
      <c r="K656" s="5"/>
      <c r="L656" s="5" t="s">
        <v>101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</row>
    <row r="657" spans="1:32" hidden="1" x14ac:dyDescent="0.2">
      <c r="A657">
        <v>2890</v>
      </c>
      <c r="B657">
        <v>1593</v>
      </c>
      <c r="C657">
        <v>1</v>
      </c>
      <c r="D657">
        <v>19</v>
      </c>
      <c r="E657" s="5" t="s">
        <v>135</v>
      </c>
      <c r="F657" s="5" t="s">
        <v>102</v>
      </c>
      <c r="G657" s="5" t="s">
        <v>99</v>
      </c>
      <c r="H657" s="5" t="s">
        <v>25</v>
      </c>
      <c r="I657" s="5"/>
      <c r="J657" s="5" t="s">
        <v>103</v>
      </c>
      <c r="K657" s="5"/>
      <c r="L657" s="5" t="s">
        <v>101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</row>
    <row r="658" spans="1:32" hidden="1" x14ac:dyDescent="0.2">
      <c r="A658">
        <v>2890</v>
      </c>
      <c r="B658">
        <v>2148</v>
      </c>
      <c r="C658">
        <v>1</v>
      </c>
      <c r="D658">
        <v>16</v>
      </c>
      <c r="E658" s="5" t="s">
        <v>135</v>
      </c>
      <c r="F658" s="5" t="s">
        <v>3</v>
      </c>
      <c r="G658" s="5" t="s">
        <v>99</v>
      </c>
      <c r="H658" s="5" t="s">
        <v>27</v>
      </c>
      <c r="I658" s="5"/>
      <c r="J658" s="5" t="s">
        <v>100</v>
      </c>
      <c r="K658" s="5"/>
      <c r="L658" s="5" t="s">
        <v>101</v>
      </c>
      <c r="M658" s="5">
        <v>955</v>
      </c>
      <c r="N658" s="5">
        <v>948</v>
      </c>
      <c r="O658" s="5">
        <v>987</v>
      </c>
      <c r="P658" s="5">
        <v>1041</v>
      </c>
      <c r="Q658" s="5">
        <v>1042</v>
      </c>
      <c r="R658" s="5">
        <v>1175</v>
      </c>
      <c r="S658" s="5">
        <v>1188</v>
      </c>
      <c r="T658" s="5">
        <v>1254</v>
      </c>
      <c r="U658" s="5">
        <v>1671</v>
      </c>
      <c r="V658" s="5">
        <v>1895</v>
      </c>
      <c r="W658" s="5">
        <v>1982</v>
      </c>
      <c r="X658" s="5">
        <v>1969</v>
      </c>
      <c r="Y658" s="5">
        <v>1972</v>
      </c>
      <c r="Z658" s="5">
        <v>564</v>
      </c>
      <c r="AA658" s="5">
        <v>1433</v>
      </c>
      <c r="AB658" s="5">
        <v>1054</v>
      </c>
      <c r="AC658" s="5">
        <v>1220</v>
      </c>
      <c r="AD658" s="5">
        <v>1272</v>
      </c>
      <c r="AE658" s="5">
        <v>1272</v>
      </c>
      <c r="AF658" s="5">
        <v>1272</v>
      </c>
    </row>
    <row r="659" spans="1:32" hidden="1" x14ac:dyDescent="0.2">
      <c r="A659">
        <v>2890</v>
      </c>
      <c r="B659">
        <v>1593</v>
      </c>
      <c r="C659">
        <v>1</v>
      </c>
      <c r="D659">
        <v>16</v>
      </c>
      <c r="E659" s="5" t="s">
        <v>135</v>
      </c>
      <c r="F659" s="5" t="s">
        <v>102</v>
      </c>
      <c r="G659" s="5" t="s">
        <v>99</v>
      </c>
      <c r="H659" s="5" t="s">
        <v>27</v>
      </c>
      <c r="I659" s="5"/>
      <c r="J659" s="5" t="s">
        <v>103</v>
      </c>
      <c r="K659" s="5"/>
      <c r="L659" s="5" t="s">
        <v>101</v>
      </c>
      <c r="M659" s="5">
        <v>305.8</v>
      </c>
      <c r="N659" s="5">
        <v>305.8</v>
      </c>
      <c r="O659" s="5">
        <v>305.8</v>
      </c>
      <c r="P659" s="5">
        <v>305.8</v>
      </c>
      <c r="Q659" s="5">
        <v>256.8</v>
      </c>
      <c r="R659" s="5">
        <v>256.8</v>
      </c>
      <c r="S659" s="5">
        <v>256.8</v>
      </c>
      <c r="T659" s="5">
        <v>256.8</v>
      </c>
      <c r="U659" s="5">
        <v>256.8</v>
      </c>
      <c r="V659" s="5">
        <v>256.8</v>
      </c>
      <c r="W659" s="5">
        <v>256.8</v>
      </c>
      <c r="X659" s="5">
        <v>256.8</v>
      </c>
      <c r="Y659" s="5">
        <v>256.8</v>
      </c>
      <c r="Z659" s="5">
        <v>256.8</v>
      </c>
      <c r="AA659" s="5">
        <v>256.8</v>
      </c>
      <c r="AB659" s="5">
        <v>256.8</v>
      </c>
      <c r="AC659" s="5">
        <v>256.8</v>
      </c>
      <c r="AD659" s="5">
        <v>393</v>
      </c>
      <c r="AE659" s="5">
        <v>393</v>
      </c>
      <c r="AF659" s="5">
        <v>393</v>
      </c>
    </row>
    <row r="660" spans="1:32" hidden="1" x14ac:dyDescent="0.2">
      <c r="A660">
        <v>2890</v>
      </c>
      <c r="B660">
        <v>2148</v>
      </c>
      <c r="C660">
        <v>1</v>
      </c>
      <c r="D660">
        <v>11</v>
      </c>
      <c r="E660" s="5" t="s">
        <v>135</v>
      </c>
      <c r="F660" s="5" t="s">
        <v>3</v>
      </c>
      <c r="G660" s="5" t="s">
        <v>99</v>
      </c>
      <c r="H660" s="5" t="s">
        <v>28</v>
      </c>
      <c r="I660" s="5"/>
      <c r="J660" s="5" t="s">
        <v>100</v>
      </c>
      <c r="K660" s="5"/>
      <c r="L660" s="5" t="s">
        <v>101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4289.8100000000004</v>
      </c>
      <c r="AC660" s="5">
        <v>4529.2</v>
      </c>
      <c r="AD660" s="5">
        <v>4783.68</v>
      </c>
      <c r="AE660" s="5">
        <v>4783.68</v>
      </c>
      <c r="AF660" s="5">
        <v>4783.68</v>
      </c>
    </row>
    <row r="661" spans="1:32" hidden="1" x14ac:dyDescent="0.2">
      <c r="A661">
        <v>2890</v>
      </c>
      <c r="B661">
        <v>1593</v>
      </c>
      <c r="C661">
        <v>1</v>
      </c>
      <c r="D661">
        <v>11</v>
      </c>
      <c r="E661" s="5" t="s">
        <v>135</v>
      </c>
      <c r="F661" s="5" t="s">
        <v>102</v>
      </c>
      <c r="G661" s="5" t="s">
        <v>99</v>
      </c>
      <c r="H661" s="5" t="s">
        <v>28</v>
      </c>
      <c r="I661" s="5"/>
      <c r="J661" s="5" t="s">
        <v>103</v>
      </c>
      <c r="K661" s="5"/>
      <c r="L661" s="5" t="s">
        <v>101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633.84</v>
      </c>
      <c r="AC661" s="5">
        <v>649.84</v>
      </c>
      <c r="AD661" s="5">
        <v>657.36</v>
      </c>
      <c r="AE661" s="5">
        <v>657.36</v>
      </c>
      <c r="AF661" s="5">
        <v>657.36</v>
      </c>
    </row>
    <row r="662" spans="1:32" hidden="1" x14ac:dyDescent="0.2">
      <c r="A662">
        <v>2890</v>
      </c>
      <c r="B662">
        <v>2148</v>
      </c>
      <c r="C662">
        <v>1</v>
      </c>
      <c r="D662">
        <v>14</v>
      </c>
      <c r="E662" s="5" t="s">
        <v>135</v>
      </c>
      <c r="F662" s="5" t="s">
        <v>3</v>
      </c>
      <c r="G662" s="5" t="s">
        <v>99</v>
      </c>
      <c r="H662" s="5" t="s">
        <v>1</v>
      </c>
      <c r="I662" s="5"/>
      <c r="J662" s="5" t="s">
        <v>100</v>
      </c>
      <c r="K662" s="5"/>
      <c r="L662" s="5" t="s">
        <v>101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</row>
    <row r="663" spans="1:32" hidden="1" x14ac:dyDescent="0.2">
      <c r="A663">
        <v>2890</v>
      </c>
      <c r="B663">
        <v>1593</v>
      </c>
      <c r="C663">
        <v>1</v>
      </c>
      <c r="D663">
        <v>14</v>
      </c>
      <c r="E663" s="5" t="s">
        <v>135</v>
      </c>
      <c r="F663" s="5" t="s">
        <v>102</v>
      </c>
      <c r="G663" s="5" t="s">
        <v>99</v>
      </c>
      <c r="H663" s="5" t="s">
        <v>1</v>
      </c>
      <c r="I663" s="5"/>
      <c r="J663" s="5" t="s">
        <v>103</v>
      </c>
      <c r="K663" s="5"/>
      <c r="L663" s="5" t="s">
        <v>101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</row>
    <row r="664" spans="1:32" hidden="1" x14ac:dyDescent="0.2">
      <c r="A664">
        <v>11937</v>
      </c>
      <c r="B664">
        <v>2148</v>
      </c>
      <c r="C664">
        <v>1</v>
      </c>
      <c r="D664">
        <v>15</v>
      </c>
      <c r="E664" s="5" t="s">
        <v>136</v>
      </c>
      <c r="F664" s="5" t="s">
        <v>3</v>
      </c>
      <c r="G664" s="5" t="s">
        <v>99</v>
      </c>
      <c r="H664" s="5" t="s">
        <v>15</v>
      </c>
      <c r="I664" s="5"/>
      <c r="J664" s="5" t="s">
        <v>100</v>
      </c>
      <c r="K664" s="5"/>
      <c r="L664" s="5" t="s">
        <v>101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</row>
    <row r="665" spans="1:32" hidden="1" x14ac:dyDescent="0.2">
      <c r="A665">
        <v>11937</v>
      </c>
      <c r="B665">
        <v>1593</v>
      </c>
      <c r="C665">
        <v>1</v>
      </c>
      <c r="D665">
        <v>15</v>
      </c>
      <c r="E665" s="5" t="s">
        <v>136</v>
      </c>
      <c r="F665" s="5" t="s">
        <v>102</v>
      </c>
      <c r="G665" s="5" t="s">
        <v>99</v>
      </c>
      <c r="H665" s="5" t="s">
        <v>15</v>
      </c>
      <c r="I665" s="5"/>
      <c r="J665" s="5" t="s">
        <v>103</v>
      </c>
      <c r="K665" s="5"/>
      <c r="L665" s="5" t="s">
        <v>101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</row>
    <row r="666" spans="1:32" hidden="1" x14ac:dyDescent="0.2">
      <c r="A666">
        <v>11937</v>
      </c>
      <c r="B666">
        <v>2148</v>
      </c>
      <c r="C666">
        <v>1</v>
      </c>
      <c r="D666">
        <v>6</v>
      </c>
      <c r="E666" s="5" t="s">
        <v>136</v>
      </c>
      <c r="F666" s="5" t="s">
        <v>3</v>
      </c>
      <c r="G666" s="5" t="s">
        <v>99</v>
      </c>
      <c r="H666" s="5" t="s">
        <v>17</v>
      </c>
      <c r="I666" s="5"/>
      <c r="J666" s="5" t="s">
        <v>100</v>
      </c>
      <c r="K666" s="5"/>
      <c r="L666" s="5" t="s">
        <v>101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</row>
    <row r="667" spans="1:32" hidden="1" x14ac:dyDescent="0.2">
      <c r="A667">
        <v>11937</v>
      </c>
      <c r="B667">
        <v>1593</v>
      </c>
      <c r="C667">
        <v>1</v>
      </c>
      <c r="D667">
        <v>6</v>
      </c>
      <c r="E667" s="5" t="s">
        <v>136</v>
      </c>
      <c r="F667" s="5" t="s">
        <v>102</v>
      </c>
      <c r="G667" s="5" t="s">
        <v>99</v>
      </c>
      <c r="H667" s="5" t="s">
        <v>17</v>
      </c>
      <c r="I667" s="5"/>
      <c r="J667" s="5" t="s">
        <v>103</v>
      </c>
      <c r="K667" s="5"/>
      <c r="L667" s="5" t="s">
        <v>101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</row>
    <row r="668" spans="1:32" hidden="1" x14ac:dyDescent="0.2">
      <c r="A668">
        <v>11937</v>
      </c>
      <c r="B668">
        <v>2148</v>
      </c>
      <c r="C668">
        <v>1</v>
      </c>
      <c r="D668">
        <v>1</v>
      </c>
      <c r="E668" s="5" t="s">
        <v>136</v>
      </c>
      <c r="F668" s="5" t="s">
        <v>3</v>
      </c>
      <c r="G668" s="5" t="s">
        <v>99</v>
      </c>
      <c r="H668" s="5" t="s">
        <v>19</v>
      </c>
      <c r="I668" s="5"/>
      <c r="J668" s="5" t="s">
        <v>100</v>
      </c>
      <c r="K668" s="5"/>
      <c r="L668" s="5" t="s">
        <v>101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</row>
    <row r="669" spans="1:32" x14ac:dyDescent="0.2">
      <c r="A669">
        <v>11937</v>
      </c>
      <c r="B669">
        <v>1593</v>
      </c>
      <c r="C669">
        <v>1</v>
      </c>
      <c r="D669">
        <v>1</v>
      </c>
      <c r="E669" s="5" t="s">
        <v>136</v>
      </c>
      <c r="F669" s="5" t="s">
        <v>102</v>
      </c>
      <c r="G669" s="5" t="s">
        <v>99</v>
      </c>
      <c r="H669" s="5" t="s">
        <v>19</v>
      </c>
      <c r="I669" s="5"/>
      <c r="J669" s="5" t="s">
        <v>103</v>
      </c>
      <c r="K669" s="5"/>
      <c r="L669" s="5" t="s">
        <v>101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</row>
    <row r="670" spans="1:32" hidden="1" x14ac:dyDescent="0.2">
      <c r="A670">
        <v>11937</v>
      </c>
      <c r="B670">
        <v>2148</v>
      </c>
      <c r="C670">
        <v>1</v>
      </c>
      <c r="D670">
        <v>13</v>
      </c>
      <c r="E670" s="5" t="s">
        <v>136</v>
      </c>
      <c r="F670" s="5" t="s">
        <v>3</v>
      </c>
      <c r="G670" s="5" t="s">
        <v>99</v>
      </c>
      <c r="H670" s="5" t="s">
        <v>20</v>
      </c>
      <c r="I670" s="5"/>
      <c r="J670" s="5" t="s">
        <v>100</v>
      </c>
      <c r="K670" s="5"/>
      <c r="L670" s="5" t="s">
        <v>101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</row>
    <row r="671" spans="1:32" hidden="1" x14ac:dyDescent="0.2">
      <c r="A671">
        <v>11937</v>
      </c>
      <c r="B671">
        <v>1593</v>
      </c>
      <c r="C671">
        <v>1</v>
      </c>
      <c r="D671">
        <v>13</v>
      </c>
      <c r="E671" s="5" t="s">
        <v>136</v>
      </c>
      <c r="F671" s="5" t="s">
        <v>102</v>
      </c>
      <c r="G671" s="5" t="s">
        <v>99</v>
      </c>
      <c r="H671" s="5" t="s">
        <v>20</v>
      </c>
      <c r="I671" s="5"/>
      <c r="J671" s="5" t="s">
        <v>103</v>
      </c>
      <c r="K671" s="5"/>
      <c r="L671" s="5" t="s">
        <v>101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</row>
    <row r="672" spans="1:32" hidden="1" x14ac:dyDescent="0.2">
      <c r="A672">
        <v>11937</v>
      </c>
      <c r="B672">
        <v>2148</v>
      </c>
      <c r="C672">
        <v>1</v>
      </c>
      <c r="D672">
        <v>17</v>
      </c>
      <c r="E672" s="5" t="s">
        <v>136</v>
      </c>
      <c r="F672" s="5" t="s">
        <v>3</v>
      </c>
      <c r="G672" s="5" t="s">
        <v>99</v>
      </c>
      <c r="H672" s="5" t="s">
        <v>22</v>
      </c>
      <c r="I672" s="5"/>
      <c r="J672" s="5" t="s">
        <v>100</v>
      </c>
      <c r="K672" s="5"/>
      <c r="L672" s="5" t="s">
        <v>101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</row>
    <row r="673" spans="1:32" hidden="1" x14ac:dyDescent="0.2">
      <c r="A673">
        <v>11937</v>
      </c>
      <c r="B673">
        <v>1593</v>
      </c>
      <c r="C673">
        <v>1</v>
      </c>
      <c r="D673">
        <v>17</v>
      </c>
      <c r="E673" s="5" t="s">
        <v>136</v>
      </c>
      <c r="F673" s="5" t="s">
        <v>102</v>
      </c>
      <c r="G673" s="5" t="s">
        <v>99</v>
      </c>
      <c r="H673" s="5" t="s">
        <v>22</v>
      </c>
      <c r="I673" s="5"/>
      <c r="J673" s="5" t="s">
        <v>103</v>
      </c>
      <c r="K673" s="5"/>
      <c r="L673" s="5" t="s">
        <v>101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</row>
    <row r="674" spans="1:32" hidden="1" x14ac:dyDescent="0.2">
      <c r="A674">
        <v>11937</v>
      </c>
      <c r="B674">
        <v>2148</v>
      </c>
      <c r="C674">
        <v>1</v>
      </c>
      <c r="D674">
        <v>12</v>
      </c>
      <c r="E674" s="5" t="s">
        <v>136</v>
      </c>
      <c r="F674" s="5" t="s">
        <v>3</v>
      </c>
      <c r="G674" s="5" t="s">
        <v>99</v>
      </c>
      <c r="H674" s="5" t="s">
        <v>23</v>
      </c>
      <c r="I674" s="5"/>
      <c r="J674" s="5" t="s">
        <v>100</v>
      </c>
      <c r="K674" s="5"/>
      <c r="L674" s="5" t="s">
        <v>101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</row>
    <row r="675" spans="1:32" hidden="1" x14ac:dyDescent="0.2">
      <c r="A675">
        <v>11937</v>
      </c>
      <c r="B675">
        <v>1593</v>
      </c>
      <c r="C675">
        <v>1</v>
      </c>
      <c r="D675">
        <v>12</v>
      </c>
      <c r="E675" s="5" t="s">
        <v>136</v>
      </c>
      <c r="F675" s="5" t="s">
        <v>102</v>
      </c>
      <c r="G675" s="5" t="s">
        <v>99</v>
      </c>
      <c r="H675" s="5" t="s">
        <v>23</v>
      </c>
      <c r="I675" s="5"/>
      <c r="J675" s="5" t="s">
        <v>103</v>
      </c>
      <c r="K675" s="5"/>
      <c r="L675" s="5" t="s">
        <v>101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</row>
    <row r="676" spans="1:32" hidden="1" x14ac:dyDescent="0.2">
      <c r="A676">
        <v>11937</v>
      </c>
      <c r="B676">
        <v>2148</v>
      </c>
      <c r="C676">
        <v>1</v>
      </c>
      <c r="D676">
        <v>19</v>
      </c>
      <c r="E676" s="5" t="s">
        <v>136</v>
      </c>
      <c r="F676" s="5" t="s">
        <v>3</v>
      </c>
      <c r="G676" s="5" t="s">
        <v>99</v>
      </c>
      <c r="H676" s="5" t="s">
        <v>25</v>
      </c>
      <c r="I676" s="5"/>
      <c r="J676" s="5" t="s">
        <v>100</v>
      </c>
      <c r="K676" s="5"/>
      <c r="L676" s="5" t="s">
        <v>101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</row>
    <row r="677" spans="1:32" hidden="1" x14ac:dyDescent="0.2">
      <c r="A677">
        <v>11937</v>
      </c>
      <c r="B677">
        <v>1593</v>
      </c>
      <c r="C677">
        <v>1</v>
      </c>
      <c r="D677">
        <v>19</v>
      </c>
      <c r="E677" s="5" t="s">
        <v>136</v>
      </c>
      <c r="F677" s="5" t="s">
        <v>102</v>
      </c>
      <c r="G677" s="5" t="s">
        <v>99</v>
      </c>
      <c r="H677" s="5" t="s">
        <v>25</v>
      </c>
      <c r="I677" s="5"/>
      <c r="J677" s="5" t="s">
        <v>103</v>
      </c>
      <c r="K677" s="5"/>
      <c r="L677" s="5" t="s">
        <v>101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</row>
    <row r="678" spans="1:32" hidden="1" x14ac:dyDescent="0.2">
      <c r="A678">
        <v>11937</v>
      </c>
      <c r="B678">
        <v>2148</v>
      </c>
      <c r="C678">
        <v>1</v>
      </c>
      <c r="D678">
        <v>16</v>
      </c>
      <c r="E678" s="5" t="s">
        <v>136</v>
      </c>
      <c r="F678" s="5" t="s">
        <v>3</v>
      </c>
      <c r="G678" s="5" t="s">
        <v>99</v>
      </c>
      <c r="H678" s="5" t="s">
        <v>27</v>
      </c>
      <c r="I678" s="5"/>
      <c r="J678" s="5" t="s">
        <v>100</v>
      </c>
      <c r="K678" s="5"/>
      <c r="L678" s="5" t="s">
        <v>101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</row>
    <row r="679" spans="1:32" hidden="1" x14ac:dyDescent="0.2">
      <c r="A679">
        <v>11937</v>
      </c>
      <c r="B679">
        <v>1593</v>
      </c>
      <c r="C679">
        <v>1</v>
      </c>
      <c r="D679">
        <v>16</v>
      </c>
      <c r="E679" s="5" t="s">
        <v>136</v>
      </c>
      <c r="F679" s="5" t="s">
        <v>102</v>
      </c>
      <c r="G679" s="5" t="s">
        <v>99</v>
      </c>
      <c r="H679" s="5" t="s">
        <v>27</v>
      </c>
      <c r="I679" s="5"/>
      <c r="J679" s="5" t="s">
        <v>103</v>
      </c>
      <c r="K679" s="5"/>
      <c r="L679" s="5" t="s">
        <v>101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</row>
    <row r="680" spans="1:32" hidden="1" x14ac:dyDescent="0.2">
      <c r="A680">
        <v>11937</v>
      </c>
      <c r="B680">
        <v>2148</v>
      </c>
      <c r="C680">
        <v>1</v>
      </c>
      <c r="D680">
        <v>11</v>
      </c>
      <c r="E680" s="5" t="s">
        <v>136</v>
      </c>
      <c r="F680" s="5" t="s">
        <v>3</v>
      </c>
      <c r="G680" s="5" t="s">
        <v>99</v>
      </c>
      <c r="H680" s="5" t="s">
        <v>28</v>
      </c>
      <c r="I680" s="5"/>
      <c r="J680" s="5" t="s">
        <v>100</v>
      </c>
      <c r="K680" s="5"/>
      <c r="L680" s="5" t="s">
        <v>101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</row>
    <row r="681" spans="1:32" hidden="1" x14ac:dyDescent="0.2">
      <c r="A681">
        <v>11937</v>
      </c>
      <c r="B681">
        <v>1593</v>
      </c>
      <c r="C681">
        <v>1</v>
      </c>
      <c r="D681">
        <v>11</v>
      </c>
      <c r="E681" s="5" t="s">
        <v>136</v>
      </c>
      <c r="F681" s="5" t="s">
        <v>102</v>
      </c>
      <c r="G681" s="5" t="s">
        <v>99</v>
      </c>
      <c r="H681" s="5" t="s">
        <v>28</v>
      </c>
      <c r="I681" s="5"/>
      <c r="J681" s="5" t="s">
        <v>103</v>
      </c>
      <c r="K681" s="5"/>
      <c r="L681" s="5" t="s">
        <v>101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</row>
    <row r="682" spans="1:32" hidden="1" x14ac:dyDescent="0.2">
      <c r="A682">
        <v>11937</v>
      </c>
      <c r="B682">
        <v>2148</v>
      </c>
      <c r="C682">
        <v>1</v>
      </c>
      <c r="D682">
        <v>14</v>
      </c>
      <c r="E682" s="5" t="s">
        <v>136</v>
      </c>
      <c r="F682" s="5" t="s">
        <v>3</v>
      </c>
      <c r="G682" s="5" t="s">
        <v>99</v>
      </c>
      <c r="H682" s="5" t="s">
        <v>1</v>
      </c>
      <c r="I682" s="5"/>
      <c r="J682" s="5" t="s">
        <v>100</v>
      </c>
      <c r="K682" s="5"/>
      <c r="L682" s="5" t="s">
        <v>101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</row>
    <row r="683" spans="1:32" hidden="1" x14ac:dyDescent="0.2">
      <c r="A683">
        <v>11937</v>
      </c>
      <c r="B683">
        <v>1593</v>
      </c>
      <c r="C683">
        <v>1</v>
      </c>
      <c r="D683">
        <v>14</v>
      </c>
      <c r="E683" s="5" t="s">
        <v>136</v>
      </c>
      <c r="F683" s="5" t="s">
        <v>102</v>
      </c>
      <c r="G683" s="5" t="s">
        <v>99</v>
      </c>
      <c r="H683" s="5" t="s">
        <v>1</v>
      </c>
      <c r="I683" s="5"/>
      <c r="J683" s="5" t="s">
        <v>103</v>
      </c>
      <c r="K683" s="5"/>
      <c r="L683" s="5" t="s">
        <v>101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</row>
    <row r="684" spans="1:32" hidden="1" x14ac:dyDescent="0.2">
      <c r="A684">
        <v>11942</v>
      </c>
      <c r="B684">
        <v>2148</v>
      </c>
      <c r="C684">
        <v>1</v>
      </c>
      <c r="D684">
        <v>15</v>
      </c>
      <c r="E684" s="5" t="s">
        <v>137</v>
      </c>
      <c r="F684" s="5" t="s">
        <v>3</v>
      </c>
      <c r="G684" s="5" t="s">
        <v>99</v>
      </c>
      <c r="H684" s="5" t="s">
        <v>15</v>
      </c>
      <c r="I684" s="5"/>
      <c r="J684" s="5" t="s">
        <v>100</v>
      </c>
      <c r="K684" s="5"/>
      <c r="L684" s="5" t="s">
        <v>101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</row>
    <row r="685" spans="1:32" hidden="1" x14ac:dyDescent="0.2">
      <c r="A685">
        <v>11942</v>
      </c>
      <c r="B685">
        <v>1593</v>
      </c>
      <c r="C685">
        <v>1</v>
      </c>
      <c r="D685">
        <v>15</v>
      </c>
      <c r="E685" s="5" t="s">
        <v>137</v>
      </c>
      <c r="F685" s="5" t="s">
        <v>102</v>
      </c>
      <c r="G685" s="5" t="s">
        <v>99</v>
      </c>
      <c r="H685" s="5" t="s">
        <v>15</v>
      </c>
      <c r="I685" s="5"/>
      <c r="J685" s="5" t="s">
        <v>103</v>
      </c>
      <c r="K685" s="5"/>
      <c r="L685" s="5" t="s">
        <v>101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</row>
    <row r="686" spans="1:32" hidden="1" x14ac:dyDescent="0.2">
      <c r="A686">
        <v>11942</v>
      </c>
      <c r="B686">
        <v>2148</v>
      </c>
      <c r="C686">
        <v>1</v>
      </c>
      <c r="D686">
        <v>6</v>
      </c>
      <c r="E686" s="5" t="s">
        <v>137</v>
      </c>
      <c r="F686" s="5" t="s">
        <v>3</v>
      </c>
      <c r="G686" s="5" t="s">
        <v>99</v>
      </c>
      <c r="H686" s="5" t="s">
        <v>17</v>
      </c>
      <c r="I686" s="5"/>
      <c r="J686" s="5" t="s">
        <v>100</v>
      </c>
      <c r="K686" s="5"/>
      <c r="L686" s="5" t="s">
        <v>101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</row>
    <row r="687" spans="1:32" hidden="1" x14ac:dyDescent="0.2">
      <c r="A687">
        <v>11942</v>
      </c>
      <c r="B687">
        <v>1593</v>
      </c>
      <c r="C687">
        <v>1</v>
      </c>
      <c r="D687">
        <v>6</v>
      </c>
      <c r="E687" s="5" t="s">
        <v>137</v>
      </c>
      <c r="F687" s="5" t="s">
        <v>102</v>
      </c>
      <c r="G687" s="5" t="s">
        <v>99</v>
      </c>
      <c r="H687" s="5" t="s">
        <v>17</v>
      </c>
      <c r="I687" s="5"/>
      <c r="J687" s="5" t="s">
        <v>103</v>
      </c>
      <c r="K687" s="5"/>
      <c r="L687" s="5" t="s">
        <v>101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</row>
    <row r="688" spans="1:32" hidden="1" x14ac:dyDescent="0.2">
      <c r="A688">
        <v>11942</v>
      </c>
      <c r="B688">
        <v>2148</v>
      </c>
      <c r="C688">
        <v>1</v>
      </c>
      <c r="D688">
        <v>1</v>
      </c>
      <c r="E688" s="5" t="s">
        <v>137</v>
      </c>
      <c r="F688" s="5" t="s">
        <v>3</v>
      </c>
      <c r="G688" s="5" t="s">
        <v>99</v>
      </c>
      <c r="H688" s="5" t="s">
        <v>19</v>
      </c>
      <c r="I688" s="5"/>
      <c r="J688" s="5" t="s">
        <v>100</v>
      </c>
      <c r="K688" s="5"/>
      <c r="L688" s="5" t="s">
        <v>101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</row>
    <row r="689" spans="1:32" x14ac:dyDescent="0.2">
      <c r="A689">
        <v>11942</v>
      </c>
      <c r="B689">
        <v>1593</v>
      </c>
      <c r="C689">
        <v>1</v>
      </c>
      <c r="D689">
        <v>1</v>
      </c>
      <c r="E689" s="5" t="s">
        <v>137</v>
      </c>
      <c r="F689" s="5" t="s">
        <v>102</v>
      </c>
      <c r="G689" s="5" t="s">
        <v>99</v>
      </c>
      <c r="H689" s="5" t="s">
        <v>19</v>
      </c>
      <c r="I689" s="5"/>
      <c r="J689" s="5" t="s">
        <v>103</v>
      </c>
      <c r="K689" s="5"/>
      <c r="L689" s="5" t="s">
        <v>101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</row>
    <row r="690" spans="1:32" hidden="1" x14ac:dyDescent="0.2">
      <c r="A690">
        <v>11942</v>
      </c>
      <c r="B690">
        <v>2148</v>
      </c>
      <c r="C690">
        <v>1</v>
      </c>
      <c r="D690">
        <v>13</v>
      </c>
      <c r="E690" s="5" t="s">
        <v>137</v>
      </c>
      <c r="F690" s="5" t="s">
        <v>3</v>
      </c>
      <c r="G690" s="5" t="s">
        <v>99</v>
      </c>
      <c r="H690" s="5" t="s">
        <v>20</v>
      </c>
      <c r="I690" s="5"/>
      <c r="J690" s="5" t="s">
        <v>100</v>
      </c>
      <c r="K690" s="5"/>
      <c r="L690" s="5" t="s">
        <v>101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</row>
    <row r="691" spans="1:32" hidden="1" x14ac:dyDescent="0.2">
      <c r="A691">
        <v>11942</v>
      </c>
      <c r="B691">
        <v>1593</v>
      </c>
      <c r="C691">
        <v>1</v>
      </c>
      <c r="D691">
        <v>13</v>
      </c>
      <c r="E691" s="5" t="s">
        <v>137</v>
      </c>
      <c r="F691" s="5" t="s">
        <v>102</v>
      </c>
      <c r="G691" s="5" t="s">
        <v>99</v>
      </c>
      <c r="H691" s="5" t="s">
        <v>20</v>
      </c>
      <c r="I691" s="5"/>
      <c r="J691" s="5" t="s">
        <v>103</v>
      </c>
      <c r="K691" s="5"/>
      <c r="L691" s="5" t="s">
        <v>101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</row>
    <row r="692" spans="1:32" hidden="1" x14ac:dyDescent="0.2">
      <c r="A692">
        <v>11942</v>
      </c>
      <c r="B692">
        <v>2148</v>
      </c>
      <c r="C692">
        <v>1</v>
      </c>
      <c r="D692">
        <v>17</v>
      </c>
      <c r="E692" s="5" t="s">
        <v>137</v>
      </c>
      <c r="F692" s="5" t="s">
        <v>3</v>
      </c>
      <c r="G692" s="5" t="s">
        <v>99</v>
      </c>
      <c r="H692" s="5" t="s">
        <v>22</v>
      </c>
      <c r="I692" s="5"/>
      <c r="J692" s="5" t="s">
        <v>100</v>
      </c>
      <c r="K692" s="5"/>
      <c r="L692" s="5" t="s">
        <v>101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</row>
    <row r="693" spans="1:32" hidden="1" x14ac:dyDescent="0.2">
      <c r="A693">
        <v>11942</v>
      </c>
      <c r="B693">
        <v>1593</v>
      </c>
      <c r="C693">
        <v>1</v>
      </c>
      <c r="D693">
        <v>17</v>
      </c>
      <c r="E693" s="5" t="s">
        <v>137</v>
      </c>
      <c r="F693" s="5" t="s">
        <v>102</v>
      </c>
      <c r="G693" s="5" t="s">
        <v>99</v>
      </c>
      <c r="H693" s="5" t="s">
        <v>22</v>
      </c>
      <c r="I693" s="5"/>
      <c r="J693" s="5" t="s">
        <v>103</v>
      </c>
      <c r="K693" s="5"/>
      <c r="L693" s="5" t="s">
        <v>101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</row>
    <row r="694" spans="1:32" hidden="1" x14ac:dyDescent="0.2">
      <c r="A694">
        <v>11942</v>
      </c>
      <c r="B694">
        <v>2148</v>
      </c>
      <c r="C694">
        <v>1</v>
      </c>
      <c r="D694">
        <v>12</v>
      </c>
      <c r="E694" s="5" t="s">
        <v>137</v>
      </c>
      <c r="F694" s="5" t="s">
        <v>3</v>
      </c>
      <c r="G694" s="5" t="s">
        <v>99</v>
      </c>
      <c r="H694" s="5" t="s">
        <v>23</v>
      </c>
      <c r="I694" s="5"/>
      <c r="J694" s="5" t="s">
        <v>100</v>
      </c>
      <c r="K694" s="5"/>
      <c r="L694" s="5" t="s">
        <v>101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</row>
    <row r="695" spans="1:32" hidden="1" x14ac:dyDescent="0.2">
      <c r="A695">
        <v>11942</v>
      </c>
      <c r="B695">
        <v>1593</v>
      </c>
      <c r="C695">
        <v>1</v>
      </c>
      <c r="D695">
        <v>12</v>
      </c>
      <c r="E695" s="5" t="s">
        <v>137</v>
      </c>
      <c r="F695" s="5" t="s">
        <v>102</v>
      </c>
      <c r="G695" s="5" t="s">
        <v>99</v>
      </c>
      <c r="H695" s="5" t="s">
        <v>23</v>
      </c>
      <c r="I695" s="5"/>
      <c r="J695" s="5" t="s">
        <v>103</v>
      </c>
      <c r="K695" s="5"/>
      <c r="L695" s="5" t="s">
        <v>101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</row>
    <row r="696" spans="1:32" hidden="1" x14ac:dyDescent="0.2">
      <c r="A696">
        <v>11942</v>
      </c>
      <c r="B696">
        <v>2148</v>
      </c>
      <c r="C696">
        <v>1</v>
      </c>
      <c r="D696">
        <v>19</v>
      </c>
      <c r="E696" s="5" t="s">
        <v>137</v>
      </c>
      <c r="F696" s="5" t="s">
        <v>3</v>
      </c>
      <c r="G696" s="5" t="s">
        <v>99</v>
      </c>
      <c r="H696" s="5" t="s">
        <v>25</v>
      </c>
      <c r="I696" s="5"/>
      <c r="J696" s="5" t="s">
        <v>100</v>
      </c>
      <c r="K696" s="5"/>
      <c r="L696" s="5" t="s">
        <v>101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</row>
    <row r="697" spans="1:32" hidden="1" x14ac:dyDescent="0.2">
      <c r="A697">
        <v>11942</v>
      </c>
      <c r="B697">
        <v>1593</v>
      </c>
      <c r="C697">
        <v>1</v>
      </c>
      <c r="D697">
        <v>19</v>
      </c>
      <c r="E697" s="5" t="s">
        <v>137</v>
      </c>
      <c r="F697" s="5" t="s">
        <v>102</v>
      </c>
      <c r="G697" s="5" t="s">
        <v>99</v>
      </c>
      <c r="H697" s="5" t="s">
        <v>25</v>
      </c>
      <c r="I697" s="5"/>
      <c r="J697" s="5" t="s">
        <v>103</v>
      </c>
      <c r="K697" s="5"/>
      <c r="L697" s="5" t="s">
        <v>101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</row>
    <row r="698" spans="1:32" hidden="1" x14ac:dyDescent="0.2">
      <c r="A698">
        <v>11942</v>
      </c>
      <c r="B698">
        <v>2148</v>
      </c>
      <c r="C698">
        <v>1</v>
      </c>
      <c r="D698">
        <v>16</v>
      </c>
      <c r="E698" s="5" t="s">
        <v>137</v>
      </c>
      <c r="F698" s="5" t="s">
        <v>3</v>
      </c>
      <c r="G698" s="5" t="s">
        <v>99</v>
      </c>
      <c r="H698" s="5" t="s">
        <v>27</v>
      </c>
      <c r="I698" s="5"/>
      <c r="J698" s="5" t="s">
        <v>100</v>
      </c>
      <c r="K698" s="5"/>
      <c r="L698" s="5" t="s">
        <v>101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</row>
    <row r="699" spans="1:32" hidden="1" x14ac:dyDescent="0.2">
      <c r="A699">
        <v>11942</v>
      </c>
      <c r="B699">
        <v>1593</v>
      </c>
      <c r="C699">
        <v>1</v>
      </c>
      <c r="D699">
        <v>16</v>
      </c>
      <c r="E699" s="5" t="s">
        <v>137</v>
      </c>
      <c r="F699" s="5" t="s">
        <v>102</v>
      </c>
      <c r="G699" s="5" t="s">
        <v>99</v>
      </c>
      <c r="H699" s="5" t="s">
        <v>27</v>
      </c>
      <c r="I699" s="5"/>
      <c r="J699" s="5" t="s">
        <v>103</v>
      </c>
      <c r="K699" s="5"/>
      <c r="L699" s="5" t="s">
        <v>101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</row>
    <row r="700" spans="1:32" hidden="1" x14ac:dyDescent="0.2">
      <c r="A700">
        <v>11942</v>
      </c>
      <c r="B700">
        <v>2148</v>
      </c>
      <c r="C700">
        <v>1</v>
      </c>
      <c r="D700">
        <v>11</v>
      </c>
      <c r="E700" s="5" t="s">
        <v>137</v>
      </c>
      <c r="F700" s="5" t="s">
        <v>3</v>
      </c>
      <c r="G700" s="5" t="s">
        <v>99</v>
      </c>
      <c r="H700" s="5" t="s">
        <v>28</v>
      </c>
      <c r="I700" s="5"/>
      <c r="J700" s="5" t="s">
        <v>100</v>
      </c>
      <c r="K700" s="5"/>
      <c r="L700" s="5" t="s">
        <v>101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</row>
    <row r="701" spans="1:32" hidden="1" x14ac:dyDescent="0.2">
      <c r="A701">
        <v>11942</v>
      </c>
      <c r="B701">
        <v>1593</v>
      </c>
      <c r="C701">
        <v>1</v>
      </c>
      <c r="D701">
        <v>11</v>
      </c>
      <c r="E701" s="5" t="s">
        <v>137</v>
      </c>
      <c r="F701" s="5" t="s">
        <v>102</v>
      </c>
      <c r="G701" s="5" t="s">
        <v>99</v>
      </c>
      <c r="H701" s="5" t="s">
        <v>28</v>
      </c>
      <c r="I701" s="5"/>
      <c r="J701" s="5" t="s">
        <v>103</v>
      </c>
      <c r="K701" s="5"/>
      <c r="L701" s="5" t="s">
        <v>101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1000</v>
      </c>
      <c r="AC701" s="5">
        <v>1000</v>
      </c>
      <c r="AD701" s="5">
        <v>1000</v>
      </c>
      <c r="AE701" s="5">
        <v>1000</v>
      </c>
      <c r="AF701" s="5">
        <v>1000</v>
      </c>
    </row>
    <row r="702" spans="1:32" hidden="1" x14ac:dyDescent="0.2">
      <c r="A702">
        <v>11942</v>
      </c>
      <c r="B702">
        <v>2148</v>
      </c>
      <c r="C702">
        <v>1</v>
      </c>
      <c r="D702">
        <v>14</v>
      </c>
      <c r="E702" s="5" t="s">
        <v>137</v>
      </c>
      <c r="F702" s="5" t="s">
        <v>3</v>
      </c>
      <c r="G702" s="5" t="s">
        <v>99</v>
      </c>
      <c r="H702" s="5" t="s">
        <v>1</v>
      </c>
      <c r="I702" s="5"/>
      <c r="J702" s="5" t="s">
        <v>100</v>
      </c>
      <c r="K702" s="5"/>
      <c r="L702" s="5" t="s">
        <v>101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</row>
    <row r="703" spans="1:32" hidden="1" x14ac:dyDescent="0.2">
      <c r="A703">
        <v>11942</v>
      </c>
      <c r="B703">
        <v>1593</v>
      </c>
      <c r="C703">
        <v>1</v>
      </c>
      <c r="D703">
        <v>14</v>
      </c>
      <c r="E703" s="5" t="s">
        <v>137</v>
      </c>
      <c r="F703" s="5" t="s">
        <v>102</v>
      </c>
      <c r="G703" s="5" t="s">
        <v>99</v>
      </c>
      <c r="H703" s="5" t="s">
        <v>1</v>
      </c>
      <c r="I703" s="5"/>
      <c r="J703" s="5" t="s">
        <v>103</v>
      </c>
      <c r="K703" s="5"/>
      <c r="L703" s="5" t="s">
        <v>101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</row>
    <row r="704" spans="1:32" hidden="1" x14ac:dyDescent="0.2">
      <c r="A704">
        <v>14450</v>
      </c>
      <c r="B704">
        <v>2148</v>
      </c>
      <c r="C704">
        <v>1</v>
      </c>
      <c r="D704">
        <v>15</v>
      </c>
      <c r="E704" s="5" t="s">
        <v>138</v>
      </c>
      <c r="F704" s="5" t="s">
        <v>3</v>
      </c>
      <c r="G704" s="5" t="s">
        <v>99</v>
      </c>
      <c r="H704" s="5" t="s">
        <v>15</v>
      </c>
      <c r="I704" s="5"/>
      <c r="J704" s="5" t="s">
        <v>100</v>
      </c>
      <c r="K704" s="5"/>
      <c r="L704" s="5" t="s">
        <v>101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</row>
    <row r="705" spans="1:32" hidden="1" x14ac:dyDescent="0.2">
      <c r="A705">
        <v>14450</v>
      </c>
      <c r="B705">
        <v>1593</v>
      </c>
      <c r="C705">
        <v>1</v>
      </c>
      <c r="D705">
        <v>15</v>
      </c>
      <c r="E705" s="5" t="s">
        <v>138</v>
      </c>
      <c r="F705" s="5" t="s">
        <v>102</v>
      </c>
      <c r="G705" s="5" t="s">
        <v>99</v>
      </c>
      <c r="H705" s="5" t="s">
        <v>15</v>
      </c>
      <c r="I705" s="5"/>
      <c r="J705" s="5" t="s">
        <v>103</v>
      </c>
      <c r="K705" s="5"/>
      <c r="L705" s="5" t="s">
        <v>101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</row>
    <row r="706" spans="1:32" hidden="1" x14ac:dyDescent="0.2">
      <c r="A706">
        <v>14450</v>
      </c>
      <c r="B706">
        <v>2148</v>
      </c>
      <c r="C706">
        <v>1</v>
      </c>
      <c r="D706">
        <v>6</v>
      </c>
      <c r="E706" s="5" t="s">
        <v>138</v>
      </c>
      <c r="F706" s="5" t="s">
        <v>3</v>
      </c>
      <c r="G706" s="5" t="s">
        <v>99</v>
      </c>
      <c r="H706" s="5" t="s">
        <v>17</v>
      </c>
      <c r="I706" s="5"/>
      <c r="J706" s="5" t="s">
        <v>100</v>
      </c>
      <c r="K706" s="5"/>
      <c r="L706" s="5" t="s">
        <v>101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</row>
    <row r="707" spans="1:32" hidden="1" x14ac:dyDescent="0.2">
      <c r="A707">
        <v>14450</v>
      </c>
      <c r="B707">
        <v>1593</v>
      </c>
      <c r="C707">
        <v>1</v>
      </c>
      <c r="D707">
        <v>6</v>
      </c>
      <c r="E707" s="5" t="s">
        <v>138</v>
      </c>
      <c r="F707" s="5" t="s">
        <v>102</v>
      </c>
      <c r="G707" s="5" t="s">
        <v>99</v>
      </c>
      <c r="H707" s="5" t="s">
        <v>17</v>
      </c>
      <c r="I707" s="5"/>
      <c r="J707" s="5" t="s">
        <v>103</v>
      </c>
      <c r="K707" s="5"/>
      <c r="L707" s="5" t="s">
        <v>101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</row>
    <row r="708" spans="1:32" hidden="1" x14ac:dyDescent="0.2">
      <c r="A708">
        <v>14450</v>
      </c>
      <c r="B708">
        <v>2148</v>
      </c>
      <c r="C708">
        <v>1</v>
      </c>
      <c r="D708">
        <v>1</v>
      </c>
      <c r="E708" s="5" t="s">
        <v>138</v>
      </c>
      <c r="F708" s="5" t="s">
        <v>3</v>
      </c>
      <c r="G708" s="5" t="s">
        <v>99</v>
      </c>
      <c r="H708" s="5" t="s">
        <v>19</v>
      </c>
      <c r="I708" s="5"/>
      <c r="J708" s="5" t="s">
        <v>100</v>
      </c>
      <c r="K708" s="5"/>
      <c r="L708" s="5" t="s">
        <v>101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</row>
    <row r="709" spans="1:32" x14ac:dyDescent="0.2">
      <c r="A709">
        <v>14450</v>
      </c>
      <c r="B709">
        <v>1593</v>
      </c>
      <c r="C709">
        <v>1</v>
      </c>
      <c r="D709">
        <v>1</v>
      </c>
      <c r="E709" s="5" t="s">
        <v>138</v>
      </c>
      <c r="F709" s="5" t="s">
        <v>102</v>
      </c>
      <c r="G709" s="5" t="s">
        <v>99</v>
      </c>
      <c r="H709" s="5" t="s">
        <v>19</v>
      </c>
      <c r="I709" s="5"/>
      <c r="J709" s="5" t="s">
        <v>103</v>
      </c>
      <c r="K709" s="5"/>
      <c r="L709" s="5" t="s">
        <v>101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</row>
    <row r="710" spans="1:32" hidden="1" x14ac:dyDescent="0.2">
      <c r="A710">
        <v>14450</v>
      </c>
      <c r="B710">
        <v>2148</v>
      </c>
      <c r="C710">
        <v>1</v>
      </c>
      <c r="D710">
        <v>13</v>
      </c>
      <c r="E710" s="5" t="s">
        <v>138</v>
      </c>
      <c r="F710" s="5" t="s">
        <v>3</v>
      </c>
      <c r="G710" s="5" t="s">
        <v>99</v>
      </c>
      <c r="H710" s="5" t="s">
        <v>20</v>
      </c>
      <c r="I710" s="5"/>
      <c r="J710" s="5" t="s">
        <v>100</v>
      </c>
      <c r="K710" s="5"/>
      <c r="L710" s="5" t="s">
        <v>101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</row>
    <row r="711" spans="1:32" hidden="1" x14ac:dyDescent="0.2">
      <c r="A711">
        <v>14450</v>
      </c>
      <c r="B711">
        <v>1593</v>
      </c>
      <c r="C711">
        <v>1</v>
      </c>
      <c r="D711">
        <v>13</v>
      </c>
      <c r="E711" s="5" t="s">
        <v>138</v>
      </c>
      <c r="F711" s="5" t="s">
        <v>102</v>
      </c>
      <c r="G711" s="5" t="s">
        <v>99</v>
      </c>
      <c r="H711" s="5" t="s">
        <v>20</v>
      </c>
      <c r="I711" s="5"/>
      <c r="J711" s="5" t="s">
        <v>103</v>
      </c>
      <c r="K711" s="5"/>
      <c r="L711" s="5" t="s">
        <v>101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</row>
    <row r="712" spans="1:32" hidden="1" x14ac:dyDescent="0.2">
      <c r="A712">
        <v>14450</v>
      </c>
      <c r="B712">
        <v>2148</v>
      </c>
      <c r="C712">
        <v>1</v>
      </c>
      <c r="D712">
        <v>17</v>
      </c>
      <c r="E712" s="5" t="s">
        <v>138</v>
      </c>
      <c r="F712" s="5" t="s">
        <v>3</v>
      </c>
      <c r="G712" s="5" t="s">
        <v>99</v>
      </c>
      <c r="H712" s="5" t="s">
        <v>22</v>
      </c>
      <c r="I712" s="5"/>
      <c r="J712" s="5" t="s">
        <v>100</v>
      </c>
      <c r="K712" s="5"/>
      <c r="L712" s="5" t="s">
        <v>101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</row>
    <row r="713" spans="1:32" hidden="1" x14ac:dyDescent="0.2">
      <c r="A713">
        <v>14450</v>
      </c>
      <c r="B713">
        <v>1593</v>
      </c>
      <c r="C713">
        <v>1</v>
      </c>
      <c r="D713">
        <v>17</v>
      </c>
      <c r="E713" s="5" t="s">
        <v>138</v>
      </c>
      <c r="F713" s="5" t="s">
        <v>102</v>
      </c>
      <c r="G713" s="5" t="s">
        <v>99</v>
      </c>
      <c r="H713" s="5" t="s">
        <v>22</v>
      </c>
      <c r="I713" s="5"/>
      <c r="J713" s="5" t="s">
        <v>103</v>
      </c>
      <c r="K713" s="5"/>
      <c r="L713" s="5" t="s">
        <v>101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</row>
    <row r="714" spans="1:32" hidden="1" x14ac:dyDescent="0.2">
      <c r="A714">
        <v>14450</v>
      </c>
      <c r="B714">
        <v>2148</v>
      </c>
      <c r="C714">
        <v>1</v>
      </c>
      <c r="D714">
        <v>12</v>
      </c>
      <c r="E714" s="5" t="s">
        <v>138</v>
      </c>
      <c r="F714" s="5" t="s">
        <v>3</v>
      </c>
      <c r="G714" s="5" t="s">
        <v>99</v>
      </c>
      <c r="H714" s="5" t="s">
        <v>23</v>
      </c>
      <c r="I714" s="5"/>
      <c r="J714" s="5" t="s">
        <v>100</v>
      </c>
      <c r="K714" s="5"/>
      <c r="L714" s="5" t="s">
        <v>101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</row>
    <row r="715" spans="1:32" hidden="1" x14ac:dyDescent="0.2">
      <c r="A715">
        <v>14450</v>
      </c>
      <c r="B715">
        <v>1593</v>
      </c>
      <c r="C715">
        <v>1</v>
      </c>
      <c r="D715">
        <v>12</v>
      </c>
      <c r="E715" s="5" t="s">
        <v>138</v>
      </c>
      <c r="F715" s="5" t="s">
        <v>102</v>
      </c>
      <c r="G715" s="5" t="s">
        <v>99</v>
      </c>
      <c r="H715" s="5" t="s">
        <v>23</v>
      </c>
      <c r="I715" s="5"/>
      <c r="J715" s="5" t="s">
        <v>103</v>
      </c>
      <c r="K715" s="5"/>
      <c r="L715" s="5" t="s">
        <v>101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</row>
    <row r="716" spans="1:32" hidden="1" x14ac:dyDescent="0.2">
      <c r="A716">
        <v>14450</v>
      </c>
      <c r="B716">
        <v>2148</v>
      </c>
      <c r="C716">
        <v>1</v>
      </c>
      <c r="D716">
        <v>19</v>
      </c>
      <c r="E716" s="5" t="s">
        <v>138</v>
      </c>
      <c r="F716" s="5" t="s">
        <v>3</v>
      </c>
      <c r="G716" s="5" t="s">
        <v>99</v>
      </c>
      <c r="H716" s="5" t="s">
        <v>25</v>
      </c>
      <c r="I716" s="5"/>
      <c r="J716" s="5" t="s">
        <v>100</v>
      </c>
      <c r="K716" s="5"/>
      <c r="L716" s="5" t="s">
        <v>101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</row>
    <row r="717" spans="1:32" hidden="1" x14ac:dyDescent="0.2">
      <c r="A717">
        <v>14450</v>
      </c>
      <c r="B717">
        <v>1593</v>
      </c>
      <c r="C717">
        <v>1</v>
      </c>
      <c r="D717">
        <v>19</v>
      </c>
      <c r="E717" s="5" t="s">
        <v>138</v>
      </c>
      <c r="F717" s="5" t="s">
        <v>102</v>
      </c>
      <c r="G717" s="5" t="s">
        <v>99</v>
      </c>
      <c r="H717" s="5" t="s">
        <v>25</v>
      </c>
      <c r="I717" s="5"/>
      <c r="J717" s="5" t="s">
        <v>103</v>
      </c>
      <c r="K717" s="5"/>
      <c r="L717" s="5" t="s">
        <v>101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</row>
    <row r="718" spans="1:32" hidden="1" x14ac:dyDescent="0.2">
      <c r="A718">
        <v>14450</v>
      </c>
      <c r="B718">
        <v>2148</v>
      </c>
      <c r="C718">
        <v>1</v>
      </c>
      <c r="D718">
        <v>16</v>
      </c>
      <c r="E718" s="5" t="s">
        <v>138</v>
      </c>
      <c r="F718" s="5" t="s">
        <v>3</v>
      </c>
      <c r="G718" s="5" t="s">
        <v>99</v>
      </c>
      <c r="H718" s="5" t="s">
        <v>27</v>
      </c>
      <c r="I718" s="5"/>
      <c r="J718" s="5" t="s">
        <v>100</v>
      </c>
      <c r="K718" s="5"/>
      <c r="L718" s="5" t="s">
        <v>101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</row>
    <row r="719" spans="1:32" hidden="1" x14ac:dyDescent="0.2">
      <c r="A719">
        <v>14450</v>
      </c>
      <c r="B719">
        <v>1593</v>
      </c>
      <c r="C719">
        <v>1</v>
      </c>
      <c r="D719">
        <v>16</v>
      </c>
      <c r="E719" s="5" t="s">
        <v>138</v>
      </c>
      <c r="F719" s="5" t="s">
        <v>102</v>
      </c>
      <c r="G719" s="5" t="s">
        <v>99</v>
      </c>
      <c r="H719" s="5" t="s">
        <v>27</v>
      </c>
      <c r="I719" s="5"/>
      <c r="J719" s="5" t="s">
        <v>103</v>
      </c>
      <c r="K719" s="5"/>
      <c r="L719" s="5" t="s">
        <v>101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</row>
    <row r="720" spans="1:32" hidden="1" x14ac:dyDescent="0.2">
      <c r="A720">
        <v>14450</v>
      </c>
      <c r="B720">
        <v>2148</v>
      </c>
      <c r="C720">
        <v>1</v>
      </c>
      <c r="D720">
        <v>11</v>
      </c>
      <c r="E720" s="5" t="s">
        <v>138</v>
      </c>
      <c r="F720" s="5" t="s">
        <v>3</v>
      </c>
      <c r="G720" s="5" t="s">
        <v>99</v>
      </c>
      <c r="H720" s="5" t="s">
        <v>28</v>
      </c>
      <c r="I720" s="5"/>
      <c r="J720" s="5" t="s">
        <v>100</v>
      </c>
      <c r="K720" s="5"/>
      <c r="L720" s="5" t="s">
        <v>101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</row>
    <row r="721" spans="1:32" hidden="1" x14ac:dyDescent="0.2">
      <c r="A721">
        <v>14450</v>
      </c>
      <c r="B721">
        <v>1593</v>
      </c>
      <c r="C721">
        <v>1</v>
      </c>
      <c r="D721">
        <v>11</v>
      </c>
      <c r="E721" s="5" t="s">
        <v>138</v>
      </c>
      <c r="F721" s="5" t="s">
        <v>102</v>
      </c>
      <c r="G721" s="5" t="s">
        <v>99</v>
      </c>
      <c r="H721" s="5" t="s">
        <v>28</v>
      </c>
      <c r="I721" s="5"/>
      <c r="J721" s="5" t="s">
        <v>103</v>
      </c>
      <c r="K721" s="5"/>
      <c r="L721" s="5" t="s">
        <v>101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</row>
    <row r="722" spans="1:32" hidden="1" x14ac:dyDescent="0.2">
      <c r="A722">
        <v>14450</v>
      </c>
      <c r="B722">
        <v>2148</v>
      </c>
      <c r="C722">
        <v>1</v>
      </c>
      <c r="D722">
        <v>14</v>
      </c>
      <c r="E722" s="5" t="s">
        <v>138</v>
      </c>
      <c r="F722" s="5" t="s">
        <v>3</v>
      </c>
      <c r="G722" s="5" t="s">
        <v>99</v>
      </c>
      <c r="H722" s="5" t="s">
        <v>1</v>
      </c>
      <c r="I722" s="5"/>
      <c r="J722" s="5" t="s">
        <v>100</v>
      </c>
      <c r="K722" s="5"/>
      <c r="L722" s="5" t="s">
        <v>101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</row>
    <row r="723" spans="1:32" hidden="1" x14ac:dyDescent="0.2">
      <c r="A723">
        <v>14450</v>
      </c>
      <c r="B723">
        <v>1593</v>
      </c>
      <c r="C723">
        <v>1</v>
      </c>
      <c r="D723">
        <v>14</v>
      </c>
      <c r="E723" s="5" t="s">
        <v>138</v>
      </c>
      <c r="F723" s="5" t="s">
        <v>102</v>
      </c>
      <c r="G723" s="5" t="s">
        <v>99</v>
      </c>
      <c r="H723" s="5" t="s">
        <v>1</v>
      </c>
      <c r="I723" s="5"/>
      <c r="J723" s="5" t="s">
        <v>103</v>
      </c>
      <c r="K723" s="5"/>
      <c r="L723" s="5" t="s">
        <v>101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</row>
    <row r="724" spans="1:32" hidden="1" x14ac:dyDescent="0.2">
      <c r="A724">
        <v>14451</v>
      </c>
      <c r="B724">
        <v>2148</v>
      </c>
      <c r="C724">
        <v>1</v>
      </c>
      <c r="D724">
        <v>15</v>
      </c>
      <c r="E724" s="5" t="s">
        <v>139</v>
      </c>
      <c r="F724" s="5" t="s">
        <v>3</v>
      </c>
      <c r="G724" s="5" t="s">
        <v>99</v>
      </c>
      <c r="H724" s="5" t="s">
        <v>15</v>
      </c>
      <c r="I724" s="5"/>
      <c r="J724" s="5" t="s">
        <v>100</v>
      </c>
      <c r="K724" s="5"/>
      <c r="L724" s="5" t="s">
        <v>101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</row>
    <row r="725" spans="1:32" hidden="1" x14ac:dyDescent="0.2">
      <c r="A725">
        <v>14451</v>
      </c>
      <c r="B725">
        <v>1593</v>
      </c>
      <c r="C725">
        <v>1</v>
      </c>
      <c r="D725">
        <v>15</v>
      </c>
      <c r="E725" s="5" t="s">
        <v>139</v>
      </c>
      <c r="F725" s="5" t="s">
        <v>102</v>
      </c>
      <c r="G725" s="5" t="s">
        <v>99</v>
      </c>
      <c r="H725" s="5" t="s">
        <v>15</v>
      </c>
      <c r="I725" s="5"/>
      <c r="J725" s="5" t="s">
        <v>103</v>
      </c>
      <c r="K725" s="5"/>
      <c r="L725" s="5" t="s">
        <v>101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</row>
    <row r="726" spans="1:32" hidden="1" x14ac:dyDescent="0.2">
      <c r="A726">
        <v>14451</v>
      </c>
      <c r="B726">
        <v>2148</v>
      </c>
      <c r="C726">
        <v>1</v>
      </c>
      <c r="D726">
        <v>6</v>
      </c>
      <c r="E726" s="5" t="s">
        <v>139</v>
      </c>
      <c r="F726" s="5" t="s">
        <v>3</v>
      </c>
      <c r="G726" s="5" t="s">
        <v>99</v>
      </c>
      <c r="H726" s="5" t="s">
        <v>17</v>
      </c>
      <c r="I726" s="5"/>
      <c r="J726" s="5" t="s">
        <v>100</v>
      </c>
      <c r="K726" s="5"/>
      <c r="L726" s="5" t="s">
        <v>101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</row>
    <row r="727" spans="1:32" hidden="1" x14ac:dyDescent="0.2">
      <c r="A727">
        <v>14451</v>
      </c>
      <c r="B727">
        <v>1593</v>
      </c>
      <c r="C727">
        <v>1</v>
      </c>
      <c r="D727">
        <v>6</v>
      </c>
      <c r="E727" s="5" t="s">
        <v>139</v>
      </c>
      <c r="F727" s="5" t="s">
        <v>102</v>
      </c>
      <c r="G727" s="5" t="s">
        <v>99</v>
      </c>
      <c r="H727" s="5" t="s">
        <v>17</v>
      </c>
      <c r="I727" s="5"/>
      <c r="J727" s="5" t="s">
        <v>103</v>
      </c>
      <c r="K727" s="5"/>
      <c r="L727" s="5" t="s">
        <v>101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</row>
    <row r="728" spans="1:32" hidden="1" x14ac:dyDescent="0.2">
      <c r="A728">
        <v>14451</v>
      </c>
      <c r="B728">
        <v>2148</v>
      </c>
      <c r="C728">
        <v>1</v>
      </c>
      <c r="D728">
        <v>1</v>
      </c>
      <c r="E728" s="5" t="s">
        <v>139</v>
      </c>
      <c r="F728" s="5" t="s">
        <v>3</v>
      </c>
      <c r="G728" s="5" t="s">
        <v>99</v>
      </c>
      <c r="H728" s="5" t="s">
        <v>19</v>
      </c>
      <c r="I728" s="5"/>
      <c r="J728" s="5" t="s">
        <v>100</v>
      </c>
      <c r="K728" s="5"/>
      <c r="L728" s="5" t="s">
        <v>101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</row>
    <row r="729" spans="1:32" x14ac:dyDescent="0.2">
      <c r="A729">
        <v>14451</v>
      </c>
      <c r="B729">
        <v>1593</v>
      </c>
      <c r="C729">
        <v>1</v>
      </c>
      <c r="D729">
        <v>1</v>
      </c>
      <c r="E729" s="5" t="s">
        <v>139</v>
      </c>
      <c r="F729" s="5" t="s">
        <v>102</v>
      </c>
      <c r="G729" s="5" t="s">
        <v>99</v>
      </c>
      <c r="H729" s="5" t="s">
        <v>19</v>
      </c>
      <c r="I729" s="5"/>
      <c r="J729" s="5" t="s">
        <v>103</v>
      </c>
      <c r="K729" s="5"/>
      <c r="L729" s="5" t="s">
        <v>101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</row>
    <row r="730" spans="1:32" hidden="1" x14ac:dyDescent="0.2">
      <c r="A730">
        <v>14451</v>
      </c>
      <c r="B730">
        <v>2148</v>
      </c>
      <c r="C730">
        <v>1</v>
      </c>
      <c r="D730">
        <v>13</v>
      </c>
      <c r="E730" s="5" t="s">
        <v>139</v>
      </c>
      <c r="F730" s="5" t="s">
        <v>3</v>
      </c>
      <c r="G730" s="5" t="s">
        <v>99</v>
      </c>
      <c r="H730" s="5" t="s">
        <v>20</v>
      </c>
      <c r="I730" s="5"/>
      <c r="J730" s="5" t="s">
        <v>100</v>
      </c>
      <c r="K730" s="5"/>
      <c r="L730" s="5" t="s">
        <v>101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</row>
    <row r="731" spans="1:32" hidden="1" x14ac:dyDescent="0.2">
      <c r="A731">
        <v>14451</v>
      </c>
      <c r="B731">
        <v>1593</v>
      </c>
      <c r="C731">
        <v>1</v>
      </c>
      <c r="D731">
        <v>13</v>
      </c>
      <c r="E731" s="5" t="s">
        <v>139</v>
      </c>
      <c r="F731" s="5" t="s">
        <v>102</v>
      </c>
      <c r="G731" s="5" t="s">
        <v>99</v>
      </c>
      <c r="H731" s="5" t="s">
        <v>20</v>
      </c>
      <c r="I731" s="5"/>
      <c r="J731" s="5" t="s">
        <v>103</v>
      </c>
      <c r="K731" s="5"/>
      <c r="L731" s="5" t="s">
        <v>101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</row>
    <row r="732" spans="1:32" hidden="1" x14ac:dyDescent="0.2">
      <c r="A732">
        <v>14451</v>
      </c>
      <c r="B732">
        <v>2148</v>
      </c>
      <c r="C732">
        <v>1</v>
      </c>
      <c r="D732">
        <v>17</v>
      </c>
      <c r="E732" s="5" t="s">
        <v>139</v>
      </c>
      <c r="F732" s="5" t="s">
        <v>3</v>
      </c>
      <c r="G732" s="5" t="s">
        <v>99</v>
      </c>
      <c r="H732" s="5" t="s">
        <v>22</v>
      </c>
      <c r="I732" s="5"/>
      <c r="J732" s="5" t="s">
        <v>100</v>
      </c>
      <c r="K732" s="5"/>
      <c r="L732" s="5" t="s">
        <v>101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</row>
    <row r="733" spans="1:32" hidden="1" x14ac:dyDescent="0.2">
      <c r="A733">
        <v>14451</v>
      </c>
      <c r="B733">
        <v>1593</v>
      </c>
      <c r="C733">
        <v>1</v>
      </c>
      <c r="D733">
        <v>17</v>
      </c>
      <c r="E733" s="5" t="s">
        <v>139</v>
      </c>
      <c r="F733" s="5" t="s">
        <v>102</v>
      </c>
      <c r="G733" s="5" t="s">
        <v>99</v>
      </c>
      <c r="H733" s="5" t="s">
        <v>22</v>
      </c>
      <c r="I733" s="5"/>
      <c r="J733" s="5" t="s">
        <v>103</v>
      </c>
      <c r="K733" s="5"/>
      <c r="L733" s="5" t="s">
        <v>101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</row>
    <row r="734" spans="1:32" hidden="1" x14ac:dyDescent="0.2">
      <c r="A734">
        <v>14451</v>
      </c>
      <c r="B734">
        <v>2148</v>
      </c>
      <c r="C734">
        <v>1</v>
      </c>
      <c r="D734">
        <v>12</v>
      </c>
      <c r="E734" s="5" t="s">
        <v>139</v>
      </c>
      <c r="F734" s="5" t="s">
        <v>3</v>
      </c>
      <c r="G734" s="5" t="s">
        <v>99</v>
      </c>
      <c r="H734" s="5" t="s">
        <v>23</v>
      </c>
      <c r="I734" s="5"/>
      <c r="J734" s="5" t="s">
        <v>100</v>
      </c>
      <c r="K734" s="5"/>
      <c r="L734" s="5" t="s">
        <v>101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</row>
    <row r="735" spans="1:32" hidden="1" x14ac:dyDescent="0.2">
      <c r="A735">
        <v>14451</v>
      </c>
      <c r="B735">
        <v>1593</v>
      </c>
      <c r="C735">
        <v>1</v>
      </c>
      <c r="D735">
        <v>12</v>
      </c>
      <c r="E735" s="5" t="s">
        <v>139</v>
      </c>
      <c r="F735" s="5" t="s">
        <v>102</v>
      </c>
      <c r="G735" s="5" t="s">
        <v>99</v>
      </c>
      <c r="H735" s="5" t="s">
        <v>23</v>
      </c>
      <c r="I735" s="5"/>
      <c r="J735" s="5" t="s">
        <v>103</v>
      </c>
      <c r="K735" s="5"/>
      <c r="L735" s="5" t="s">
        <v>101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</row>
    <row r="736" spans="1:32" hidden="1" x14ac:dyDescent="0.2">
      <c r="A736">
        <v>14451</v>
      </c>
      <c r="B736">
        <v>2148</v>
      </c>
      <c r="C736">
        <v>1</v>
      </c>
      <c r="D736">
        <v>19</v>
      </c>
      <c r="E736" s="5" t="s">
        <v>139</v>
      </c>
      <c r="F736" s="5" t="s">
        <v>3</v>
      </c>
      <c r="G736" s="5" t="s">
        <v>99</v>
      </c>
      <c r="H736" s="5" t="s">
        <v>25</v>
      </c>
      <c r="I736" s="5"/>
      <c r="J736" s="5" t="s">
        <v>100</v>
      </c>
      <c r="K736" s="5"/>
      <c r="L736" s="5" t="s">
        <v>101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</row>
    <row r="737" spans="1:32" hidden="1" x14ac:dyDescent="0.2">
      <c r="A737">
        <v>14451</v>
      </c>
      <c r="B737">
        <v>1593</v>
      </c>
      <c r="C737">
        <v>1</v>
      </c>
      <c r="D737">
        <v>19</v>
      </c>
      <c r="E737" s="5" t="s">
        <v>139</v>
      </c>
      <c r="F737" s="5" t="s">
        <v>102</v>
      </c>
      <c r="G737" s="5" t="s">
        <v>99</v>
      </c>
      <c r="H737" s="5" t="s">
        <v>25</v>
      </c>
      <c r="I737" s="5"/>
      <c r="J737" s="5" t="s">
        <v>103</v>
      </c>
      <c r="K737" s="5"/>
      <c r="L737" s="5" t="s">
        <v>101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</row>
    <row r="738" spans="1:32" hidden="1" x14ac:dyDescent="0.2">
      <c r="A738">
        <v>14451</v>
      </c>
      <c r="B738">
        <v>2148</v>
      </c>
      <c r="C738">
        <v>1</v>
      </c>
      <c r="D738">
        <v>16</v>
      </c>
      <c r="E738" s="5" t="s">
        <v>139</v>
      </c>
      <c r="F738" s="5" t="s">
        <v>3</v>
      </c>
      <c r="G738" s="5" t="s">
        <v>99</v>
      </c>
      <c r="H738" s="5" t="s">
        <v>27</v>
      </c>
      <c r="I738" s="5"/>
      <c r="J738" s="5" t="s">
        <v>100</v>
      </c>
      <c r="K738" s="5"/>
      <c r="L738" s="5" t="s">
        <v>101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</row>
    <row r="739" spans="1:32" hidden="1" x14ac:dyDescent="0.2">
      <c r="A739">
        <v>14451</v>
      </c>
      <c r="B739">
        <v>1593</v>
      </c>
      <c r="C739">
        <v>1</v>
      </c>
      <c r="D739">
        <v>16</v>
      </c>
      <c r="E739" s="5" t="s">
        <v>139</v>
      </c>
      <c r="F739" s="5" t="s">
        <v>102</v>
      </c>
      <c r="G739" s="5" t="s">
        <v>99</v>
      </c>
      <c r="H739" s="5" t="s">
        <v>27</v>
      </c>
      <c r="I739" s="5"/>
      <c r="J739" s="5" t="s">
        <v>103</v>
      </c>
      <c r="K739" s="5"/>
      <c r="L739" s="5" t="s">
        <v>101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</row>
    <row r="740" spans="1:32" hidden="1" x14ac:dyDescent="0.2">
      <c r="A740">
        <v>14451</v>
      </c>
      <c r="B740">
        <v>2148</v>
      </c>
      <c r="C740">
        <v>1</v>
      </c>
      <c r="D740">
        <v>11</v>
      </c>
      <c r="E740" s="5" t="s">
        <v>139</v>
      </c>
      <c r="F740" s="5" t="s">
        <v>3</v>
      </c>
      <c r="G740" s="5" t="s">
        <v>99</v>
      </c>
      <c r="H740" s="5" t="s">
        <v>28</v>
      </c>
      <c r="I740" s="5"/>
      <c r="J740" s="5" t="s">
        <v>100</v>
      </c>
      <c r="K740" s="5"/>
      <c r="L740" s="5" t="s">
        <v>101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</row>
    <row r="741" spans="1:32" hidden="1" x14ac:dyDescent="0.2">
      <c r="A741">
        <v>14451</v>
      </c>
      <c r="B741">
        <v>1593</v>
      </c>
      <c r="C741">
        <v>1</v>
      </c>
      <c r="D741">
        <v>11</v>
      </c>
      <c r="E741" s="5" t="s">
        <v>139</v>
      </c>
      <c r="F741" s="5" t="s">
        <v>102</v>
      </c>
      <c r="G741" s="5" t="s">
        <v>99</v>
      </c>
      <c r="H741" s="5" t="s">
        <v>28</v>
      </c>
      <c r="I741" s="5"/>
      <c r="J741" s="5" t="s">
        <v>103</v>
      </c>
      <c r="K741" s="5"/>
      <c r="L741" s="5" t="s">
        <v>101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</row>
    <row r="742" spans="1:32" hidden="1" x14ac:dyDescent="0.2">
      <c r="A742">
        <v>14451</v>
      </c>
      <c r="B742">
        <v>2148</v>
      </c>
      <c r="C742">
        <v>1</v>
      </c>
      <c r="D742">
        <v>14</v>
      </c>
      <c r="E742" s="5" t="s">
        <v>139</v>
      </c>
      <c r="F742" s="5" t="s">
        <v>3</v>
      </c>
      <c r="G742" s="5" t="s">
        <v>99</v>
      </c>
      <c r="H742" s="5" t="s">
        <v>1</v>
      </c>
      <c r="I742" s="5"/>
      <c r="J742" s="5" t="s">
        <v>100</v>
      </c>
      <c r="K742" s="5"/>
      <c r="L742" s="5" t="s">
        <v>101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</row>
    <row r="743" spans="1:32" hidden="1" x14ac:dyDescent="0.2">
      <c r="A743">
        <v>14451</v>
      </c>
      <c r="B743">
        <v>1593</v>
      </c>
      <c r="C743">
        <v>1</v>
      </c>
      <c r="D743">
        <v>14</v>
      </c>
      <c r="E743" s="5" t="s">
        <v>139</v>
      </c>
      <c r="F743" s="5" t="s">
        <v>102</v>
      </c>
      <c r="G743" s="5" t="s">
        <v>99</v>
      </c>
      <c r="H743" s="5" t="s">
        <v>1</v>
      </c>
      <c r="I743" s="5"/>
      <c r="J743" s="5" t="s">
        <v>103</v>
      </c>
      <c r="K743" s="5"/>
      <c r="L743" s="5" t="s">
        <v>101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</row>
    <row r="744" spans="1:32" hidden="1" x14ac:dyDescent="0.2">
      <c r="A744">
        <v>15771</v>
      </c>
      <c r="B744">
        <v>2148</v>
      </c>
      <c r="C744">
        <v>1</v>
      </c>
      <c r="D744">
        <v>15</v>
      </c>
      <c r="E744" s="5" t="s">
        <v>140</v>
      </c>
      <c r="F744" s="5" t="s">
        <v>3</v>
      </c>
      <c r="G744" s="5" t="s">
        <v>99</v>
      </c>
      <c r="H744" s="5" t="s">
        <v>15</v>
      </c>
      <c r="I744" s="5"/>
      <c r="J744" s="5" t="s">
        <v>100</v>
      </c>
      <c r="K744" s="5"/>
      <c r="L744" s="5" t="s">
        <v>101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</row>
    <row r="745" spans="1:32" hidden="1" x14ac:dyDescent="0.2">
      <c r="A745">
        <v>15771</v>
      </c>
      <c r="B745">
        <v>1593</v>
      </c>
      <c r="C745">
        <v>1</v>
      </c>
      <c r="D745">
        <v>15</v>
      </c>
      <c r="E745" s="5" t="s">
        <v>140</v>
      </c>
      <c r="F745" s="5" t="s">
        <v>102</v>
      </c>
      <c r="G745" s="5" t="s">
        <v>99</v>
      </c>
      <c r="H745" s="5" t="s">
        <v>15</v>
      </c>
      <c r="I745" s="5"/>
      <c r="J745" s="5" t="s">
        <v>103</v>
      </c>
      <c r="K745" s="5"/>
      <c r="L745" s="5" t="s">
        <v>101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</row>
    <row r="746" spans="1:32" hidden="1" x14ac:dyDescent="0.2">
      <c r="A746">
        <v>15771</v>
      </c>
      <c r="B746">
        <v>2148</v>
      </c>
      <c r="C746">
        <v>1</v>
      </c>
      <c r="D746">
        <v>6</v>
      </c>
      <c r="E746" s="5" t="s">
        <v>140</v>
      </c>
      <c r="F746" s="5" t="s">
        <v>3</v>
      </c>
      <c r="G746" s="5" t="s">
        <v>99</v>
      </c>
      <c r="H746" s="5" t="s">
        <v>17</v>
      </c>
      <c r="I746" s="5"/>
      <c r="J746" s="5" t="s">
        <v>100</v>
      </c>
      <c r="K746" s="5"/>
      <c r="L746" s="5" t="s">
        <v>101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</row>
    <row r="747" spans="1:32" hidden="1" x14ac:dyDescent="0.2">
      <c r="A747">
        <v>15771</v>
      </c>
      <c r="B747">
        <v>1593</v>
      </c>
      <c r="C747">
        <v>1</v>
      </c>
      <c r="D747">
        <v>6</v>
      </c>
      <c r="E747" s="5" t="s">
        <v>140</v>
      </c>
      <c r="F747" s="5" t="s">
        <v>102</v>
      </c>
      <c r="G747" s="5" t="s">
        <v>99</v>
      </c>
      <c r="H747" s="5" t="s">
        <v>17</v>
      </c>
      <c r="I747" s="5"/>
      <c r="J747" s="5" t="s">
        <v>103</v>
      </c>
      <c r="K747" s="5"/>
      <c r="L747" s="5" t="s">
        <v>101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</row>
    <row r="748" spans="1:32" hidden="1" x14ac:dyDescent="0.2">
      <c r="A748">
        <v>15771</v>
      </c>
      <c r="B748">
        <v>2148</v>
      </c>
      <c r="C748">
        <v>1</v>
      </c>
      <c r="D748">
        <v>1</v>
      </c>
      <c r="E748" s="5" t="s">
        <v>140</v>
      </c>
      <c r="F748" s="5" t="s">
        <v>3</v>
      </c>
      <c r="G748" s="5" t="s">
        <v>99</v>
      </c>
      <c r="H748" s="5" t="s">
        <v>19</v>
      </c>
      <c r="I748" s="5"/>
      <c r="J748" s="5" t="s">
        <v>100</v>
      </c>
      <c r="K748" s="5"/>
      <c r="L748" s="5" t="s">
        <v>101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</row>
    <row r="749" spans="1:32" x14ac:dyDescent="0.2">
      <c r="A749">
        <v>15771</v>
      </c>
      <c r="B749">
        <v>1593</v>
      </c>
      <c r="C749">
        <v>1</v>
      </c>
      <c r="D749">
        <v>1</v>
      </c>
      <c r="E749" s="5" t="s">
        <v>140</v>
      </c>
      <c r="F749" s="5" t="s">
        <v>102</v>
      </c>
      <c r="G749" s="5" t="s">
        <v>99</v>
      </c>
      <c r="H749" s="5" t="s">
        <v>19</v>
      </c>
      <c r="I749" s="5"/>
      <c r="J749" s="5" t="s">
        <v>103</v>
      </c>
      <c r="K749" s="5"/>
      <c r="L749" s="5" t="s">
        <v>101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</row>
    <row r="750" spans="1:32" hidden="1" x14ac:dyDescent="0.2">
      <c r="A750">
        <v>15771</v>
      </c>
      <c r="B750">
        <v>2148</v>
      </c>
      <c r="C750">
        <v>1</v>
      </c>
      <c r="D750">
        <v>13</v>
      </c>
      <c r="E750" s="5" t="s">
        <v>140</v>
      </c>
      <c r="F750" s="5" t="s">
        <v>3</v>
      </c>
      <c r="G750" s="5" t="s">
        <v>99</v>
      </c>
      <c r="H750" s="5" t="s">
        <v>20</v>
      </c>
      <c r="I750" s="5"/>
      <c r="J750" s="5" t="s">
        <v>100</v>
      </c>
      <c r="K750" s="5"/>
      <c r="L750" s="5" t="s">
        <v>101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</row>
    <row r="751" spans="1:32" hidden="1" x14ac:dyDescent="0.2">
      <c r="A751">
        <v>15771</v>
      </c>
      <c r="B751">
        <v>1593</v>
      </c>
      <c r="C751">
        <v>1</v>
      </c>
      <c r="D751">
        <v>13</v>
      </c>
      <c r="E751" s="5" t="s">
        <v>140</v>
      </c>
      <c r="F751" s="5" t="s">
        <v>102</v>
      </c>
      <c r="G751" s="5" t="s">
        <v>99</v>
      </c>
      <c r="H751" s="5" t="s">
        <v>20</v>
      </c>
      <c r="I751" s="5"/>
      <c r="J751" s="5" t="s">
        <v>103</v>
      </c>
      <c r="K751" s="5"/>
      <c r="L751" s="5" t="s">
        <v>101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</row>
    <row r="752" spans="1:32" hidden="1" x14ac:dyDescent="0.2">
      <c r="A752">
        <v>15771</v>
      </c>
      <c r="B752">
        <v>2148</v>
      </c>
      <c r="C752">
        <v>1</v>
      </c>
      <c r="D752">
        <v>17</v>
      </c>
      <c r="E752" s="5" t="s">
        <v>140</v>
      </c>
      <c r="F752" s="5" t="s">
        <v>3</v>
      </c>
      <c r="G752" s="5" t="s">
        <v>99</v>
      </c>
      <c r="H752" s="5" t="s">
        <v>22</v>
      </c>
      <c r="I752" s="5"/>
      <c r="J752" s="5" t="s">
        <v>100</v>
      </c>
      <c r="K752" s="5"/>
      <c r="L752" s="5" t="s">
        <v>101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</row>
    <row r="753" spans="1:32" hidden="1" x14ac:dyDescent="0.2">
      <c r="A753">
        <v>15771</v>
      </c>
      <c r="B753">
        <v>1593</v>
      </c>
      <c r="C753">
        <v>1</v>
      </c>
      <c r="D753">
        <v>17</v>
      </c>
      <c r="E753" s="5" t="s">
        <v>140</v>
      </c>
      <c r="F753" s="5" t="s">
        <v>102</v>
      </c>
      <c r="G753" s="5" t="s">
        <v>99</v>
      </c>
      <c r="H753" s="5" t="s">
        <v>22</v>
      </c>
      <c r="I753" s="5"/>
      <c r="J753" s="5" t="s">
        <v>103</v>
      </c>
      <c r="K753" s="5"/>
      <c r="L753" s="5" t="s">
        <v>101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</row>
    <row r="754" spans="1:32" hidden="1" x14ac:dyDescent="0.2">
      <c r="A754">
        <v>15771</v>
      </c>
      <c r="B754">
        <v>2148</v>
      </c>
      <c r="C754">
        <v>1</v>
      </c>
      <c r="D754">
        <v>12</v>
      </c>
      <c r="E754" s="5" t="s">
        <v>140</v>
      </c>
      <c r="F754" s="5" t="s">
        <v>3</v>
      </c>
      <c r="G754" s="5" t="s">
        <v>99</v>
      </c>
      <c r="H754" s="5" t="s">
        <v>23</v>
      </c>
      <c r="I754" s="5"/>
      <c r="J754" s="5" t="s">
        <v>100</v>
      </c>
      <c r="K754" s="5"/>
      <c r="L754" s="5" t="s">
        <v>101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</row>
    <row r="755" spans="1:32" hidden="1" x14ac:dyDescent="0.2">
      <c r="A755">
        <v>15771</v>
      </c>
      <c r="B755">
        <v>1593</v>
      </c>
      <c r="C755">
        <v>1</v>
      </c>
      <c r="D755">
        <v>12</v>
      </c>
      <c r="E755" s="5" t="s">
        <v>140</v>
      </c>
      <c r="F755" s="5" t="s">
        <v>102</v>
      </c>
      <c r="G755" s="5" t="s">
        <v>99</v>
      </c>
      <c r="H755" s="5" t="s">
        <v>23</v>
      </c>
      <c r="I755" s="5"/>
      <c r="J755" s="5" t="s">
        <v>103</v>
      </c>
      <c r="K755" s="5"/>
      <c r="L755" s="5" t="s">
        <v>101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</row>
    <row r="756" spans="1:32" hidden="1" x14ac:dyDescent="0.2">
      <c r="A756">
        <v>15771</v>
      </c>
      <c r="B756">
        <v>2148</v>
      </c>
      <c r="C756">
        <v>1</v>
      </c>
      <c r="D756">
        <v>19</v>
      </c>
      <c r="E756" s="5" t="s">
        <v>140</v>
      </c>
      <c r="F756" s="5" t="s">
        <v>3</v>
      </c>
      <c r="G756" s="5" t="s">
        <v>99</v>
      </c>
      <c r="H756" s="5" t="s">
        <v>25</v>
      </c>
      <c r="I756" s="5"/>
      <c r="J756" s="5" t="s">
        <v>100</v>
      </c>
      <c r="K756" s="5"/>
      <c r="L756" s="5" t="s">
        <v>101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</row>
    <row r="757" spans="1:32" hidden="1" x14ac:dyDescent="0.2">
      <c r="A757">
        <v>15771</v>
      </c>
      <c r="B757">
        <v>1593</v>
      </c>
      <c r="C757">
        <v>1</v>
      </c>
      <c r="D757">
        <v>19</v>
      </c>
      <c r="E757" s="5" t="s">
        <v>140</v>
      </c>
      <c r="F757" s="5" t="s">
        <v>102</v>
      </c>
      <c r="G757" s="5" t="s">
        <v>99</v>
      </c>
      <c r="H757" s="5" t="s">
        <v>25</v>
      </c>
      <c r="I757" s="5"/>
      <c r="J757" s="5" t="s">
        <v>103</v>
      </c>
      <c r="K757" s="5"/>
      <c r="L757" s="5" t="s">
        <v>101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</row>
    <row r="758" spans="1:32" hidden="1" x14ac:dyDescent="0.2">
      <c r="A758">
        <v>15771</v>
      </c>
      <c r="B758">
        <v>2148</v>
      </c>
      <c r="C758">
        <v>1</v>
      </c>
      <c r="D758">
        <v>16</v>
      </c>
      <c r="E758" s="5" t="s">
        <v>140</v>
      </c>
      <c r="F758" s="5" t="s">
        <v>3</v>
      </c>
      <c r="G758" s="5" t="s">
        <v>99</v>
      </c>
      <c r="H758" s="5" t="s">
        <v>27</v>
      </c>
      <c r="I758" s="5"/>
      <c r="J758" s="5" t="s">
        <v>100</v>
      </c>
      <c r="K758" s="5"/>
      <c r="L758" s="5" t="s">
        <v>101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</row>
    <row r="759" spans="1:32" hidden="1" x14ac:dyDescent="0.2">
      <c r="A759">
        <v>15771</v>
      </c>
      <c r="B759">
        <v>1593</v>
      </c>
      <c r="C759">
        <v>1</v>
      </c>
      <c r="D759">
        <v>16</v>
      </c>
      <c r="E759" s="5" t="s">
        <v>140</v>
      </c>
      <c r="F759" s="5" t="s">
        <v>102</v>
      </c>
      <c r="G759" s="5" t="s">
        <v>99</v>
      </c>
      <c r="H759" s="5" t="s">
        <v>27</v>
      </c>
      <c r="I759" s="5"/>
      <c r="J759" s="5" t="s">
        <v>103</v>
      </c>
      <c r="K759" s="5"/>
      <c r="L759" s="5" t="s">
        <v>101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</row>
    <row r="760" spans="1:32" hidden="1" x14ac:dyDescent="0.2">
      <c r="A760">
        <v>15771</v>
      </c>
      <c r="B760">
        <v>2148</v>
      </c>
      <c r="C760">
        <v>1</v>
      </c>
      <c r="D760">
        <v>11</v>
      </c>
      <c r="E760" s="5" t="s">
        <v>140</v>
      </c>
      <c r="F760" s="5" t="s">
        <v>3</v>
      </c>
      <c r="G760" s="5" t="s">
        <v>99</v>
      </c>
      <c r="H760" s="5" t="s">
        <v>28</v>
      </c>
      <c r="I760" s="5"/>
      <c r="J760" s="5" t="s">
        <v>100</v>
      </c>
      <c r="K760" s="5"/>
      <c r="L760" s="5" t="s">
        <v>101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</row>
    <row r="761" spans="1:32" hidden="1" x14ac:dyDescent="0.2">
      <c r="A761">
        <v>15771</v>
      </c>
      <c r="B761">
        <v>1593</v>
      </c>
      <c r="C761">
        <v>1</v>
      </c>
      <c r="D761">
        <v>11</v>
      </c>
      <c r="E761" s="5" t="s">
        <v>140</v>
      </c>
      <c r="F761" s="5" t="s">
        <v>102</v>
      </c>
      <c r="G761" s="5" t="s">
        <v>99</v>
      </c>
      <c r="H761" s="5" t="s">
        <v>28</v>
      </c>
      <c r="I761" s="5"/>
      <c r="J761" s="5" t="s">
        <v>103</v>
      </c>
      <c r="K761" s="5"/>
      <c r="L761" s="5" t="s">
        <v>101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</row>
    <row r="762" spans="1:32" hidden="1" x14ac:dyDescent="0.2">
      <c r="A762">
        <v>15771</v>
      </c>
      <c r="B762">
        <v>2148</v>
      </c>
      <c r="C762">
        <v>1</v>
      </c>
      <c r="D762">
        <v>14</v>
      </c>
      <c r="E762" s="5" t="s">
        <v>140</v>
      </c>
      <c r="F762" s="5" t="s">
        <v>3</v>
      </c>
      <c r="G762" s="5" t="s">
        <v>99</v>
      </c>
      <c r="H762" s="5" t="s">
        <v>1</v>
      </c>
      <c r="I762" s="5"/>
      <c r="J762" s="5" t="s">
        <v>100</v>
      </c>
      <c r="K762" s="5"/>
      <c r="L762" s="5" t="s">
        <v>101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</row>
    <row r="763" spans="1:32" hidden="1" x14ac:dyDescent="0.2">
      <c r="A763">
        <v>15771</v>
      </c>
      <c r="B763">
        <v>1593</v>
      </c>
      <c r="C763">
        <v>1</v>
      </c>
      <c r="D763">
        <v>14</v>
      </c>
      <c r="E763" s="5" t="s">
        <v>140</v>
      </c>
      <c r="F763" s="5" t="s">
        <v>102</v>
      </c>
      <c r="G763" s="5" t="s">
        <v>99</v>
      </c>
      <c r="H763" s="5" t="s">
        <v>1</v>
      </c>
      <c r="I763" s="5"/>
      <c r="J763" s="5" t="s">
        <v>103</v>
      </c>
      <c r="K763" s="5"/>
      <c r="L763" s="5" t="s">
        <v>101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</row>
    <row r="764" spans="1:32" hidden="1" x14ac:dyDescent="0.2">
      <c r="A764">
        <v>16146</v>
      </c>
      <c r="B764">
        <v>2148</v>
      </c>
      <c r="C764">
        <v>1</v>
      </c>
      <c r="D764">
        <v>15</v>
      </c>
      <c r="E764" s="5" t="s">
        <v>141</v>
      </c>
      <c r="F764" s="5" t="s">
        <v>3</v>
      </c>
      <c r="G764" s="5" t="s">
        <v>99</v>
      </c>
      <c r="H764" s="5" t="s">
        <v>15</v>
      </c>
      <c r="I764" s="5"/>
      <c r="J764" s="5" t="s">
        <v>100</v>
      </c>
      <c r="K764" s="5"/>
      <c r="L764" s="5" t="s">
        <v>101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</row>
    <row r="765" spans="1:32" hidden="1" x14ac:dyDescent="0.2">
      <c r="A765">
        <v>16146</v>
      </c>
      <c r="B765">
        <v>1593</v>
      </c>
      <c r="C765">
        <v>1</v>
      </c>
      <c r="D765">
        <v>15</v>
      </c>
      <c r="E765" s="5" t="s">
        <v>141</v>
      </c>
      <c r="F765" s="5" t="s">
        <v>102</v>
      </c>
      <c r="G765" s="5" t="s">
        <v>99</v>
      </c>
      <c r="H765" s="5" t="s">
        <v>15</v>
      </c>
      <c r="I765" s="5"/>
      <c r="J765" s="5" t="s">
        <v>103</v>
      </c>
      <c r="K765" s="5"/>
      <c r="L765" s="5" t="s">
        <v>101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</row>
    <row r="766" spans="1:32" hidden="1" x14ac:dyDescent="0.2">
      <c r="A766">
        <v>16146</v>
      </c>
      <c r="B766">
        <v>2148</v>
      </c>
      <c r="C766">
        <v>1</v>
      </c>
      <c r="D766">
        <v>6</v>
      </c>
      <c r="E766" s="5" t="s">
        <v>141</v>
      </c>
      <c r="F766" s="5" t="s">
        <v>3</v>
      </c>
      <c r="G766" s="5" t="s">
        <v>99</v>
      </c>
      <c r="H766" s="5" t="s">
        <v>17</v>
      </c>
      <c r="I766" s="5"/>
      <c r="J766" s="5" t="s">
        <v>100</v>
      </c>
      <c r="K766" s="5"/>
      <c r="L766" s="5" t="s">
        <v>101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</row>
    <row r="767" spans="1:32" hidden="1" x14ac:dyDescent="0.2">
      <c r="A767">
        <v>16146</v>
      </c>
      <c r="B767">
        <v>1593</v>
      </c>
      <c r="C767">
        <v>1</v>
      </c>
      <c r="D767">
        <v>6</v>
      </c>
      <c r="E767" s="5" t="s">
        <v>141</v>
      </c>
      <c r="F767" s="5" t="s">
        <v>102</v>
      </c>
      <c r="G767" s="5" t="s">
        <v>99</v>
      </c>
      <c r="H767" s="5" t="s">
        <v>17</v>
      </c>
      <c r="I767" s="5"/>
      <c r="J767" s="5" t="s">
        <v>103</v>
      </c>
      <c r="K767" s="5"/>
      <c r="L767" s="5" t="s">
        <v>101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</row>
    <row r="768" spans="1:32" hidden="1" x14ac:dyDescent="0.2">
      <c r="A768">
        <v>16146</v>
      </c>
      <c r="B768">
        <v>2148</v>
      </c>
      <c r="C768">
        <v>1</v>
      </c>
      <c r="D768">
        <v>1</v>
      </c>
      <c r="E768" s="5" t="s">
        <v>141</v>
      </c>
      <c r="F768" s="5" t="s">
        <v>3</v>
      </c>
      <c r="G768" s="5" t="s">
        <v>99</v>
      </c>
      <c r="H768" s="5" t="s">
        <v>19</v>
      </c>
      <c r="I768" s="5"/>
      <c r="J768" s="5" t="s">
        <v>100</v>
      </c>
      <c r="K768" s="5"/>
      <c r="L768" s="5" t="s">
        <v>101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</row>
    <row r="769" spans="1:32" x14ac:dyDescent="0.2">
      <c r="A769">
        <v>16146</v>
      </c>
      <c r="B769">
        <v>1593</v>
      </c>
      <c r="C769">
        <v>1</v>
      </c>
      <c r="D769">
        <v>1</v>
      </c>
      <c r="E769" s="5" t="s">
        <v>141</v>
      </c>
      <c r="F769" s="5" t="s">
        <v>102</v>
      </c>
      <c r="G769" s="5" t="s">
        <v>99</v>
      </c>
      <c r="H769" s="5" t="s">
        <v>19</v>
      </c>
      <c r="I769" s="5"/>
      <c r="J769" s="5" t="s">
        <v>103</v>
      </c>
      <c r="K769" s="5"/>
      <c r="L769" s="5" t="s">
        <v>101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</row>
    <row r="770" spans="1:32" hidden="1" x14ac:dyDescent="0.2">
      <c r="A770">
        <v>16146</v>
      </c>
      <c r="B770">
        <v>2148</v>
      </c>
      <c r="C770">
        <v>1</v>
      </c>
      <c r="D770">
        <v>13</v>
      </c>
      <c r="E770" s="5" t="s">
        <v>141</v>
      </c>
      <c r="F770" s="5" t="s">
        <v>3</v>
      </c>
      <c r="G770" s="5" t="s">
        <v>99</v>
      </c>
      <c r="H770" s="5" t="s">
        <v>20</v>
      </c>
      <c r="I770" s="5"/>
      <c r="J770" s="5" t="s">
        <v>100</v>
      </c>
      <c r="K770" s="5"/>
      <c r="L770" s="5" t="s">
        <v>101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</row>
    <row r="771" spans="1:32" hidden="1" x14ac:dyDescent="0.2">
      <c r="A771">
        <v>16146</v>
      </c>
      <c r="B771">
        <v>1593</v>
      </c>
      <c r="C771">
        <v>1</v>
      </c>
      <c r="D771">
        <v>13</v>
      </c>
      <c r="E771" s="5" t="s">
        <v>141</v>
      </c>
      <c r="F771" s="5" t="s">
        <v>102</v>
      </c>
      <c r="G771" s="5" t="s">
        <v>99</v>
      </c>
      <c r="H771" s="5" t="s">
        <v>20</v>
      </c>
      <c r="I771" s="5"/>
      <c r="J771" s="5" t="s">
        <v>103</v>
      </c>
      <c r="K771" s="5"/>
      <c r="L771" s="5" t="s">
        <v>101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</row>
    <row r="772" spans="1:32" hidden="1" x14ac:dyDescent="0.2">
      <c r="A772">
        <v>16146</v>
      </c>
      <c r="B772">
        <v>2148</v>
      </c>
      <c r="C772">
        <v>1</v>
      </c>
      <c r="D772">
        <v>17</v>
      </c>
      <c r="E772" s="5" t="s">
        <v>141</v>
      </c>
      <c r="F772" s="5" t="s">
        <v>3</v>
      </c>
      <c r="G772" s="5" t="s">
        <v>99</v>
      </c>
      <c r="H772" s="5" t="s">
        <v>22</v>
      </c>
      <c r="I772" s="5"/>
      <c r="J772" s="5" t="s">
        <v>100</v>
      </c>
      <c r="K772" s="5"/>
      <c r="L772" s="5" t="s">
        <v>101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</row>
    <row r="773" spans="1:32" hidden="1" x14ac:dyDescent="0.2">
      <c r="A773">
        <v>16146</v>
      </c>
      <c r="B773">
        <v>1593</v>
      </c>
      <c r="C773">
        <v>1</v>
      </c>
      <c r="D773">
        <v>17</v>
      </c>
      <c r="E773" s="5" t="s">
        <v>141</v>
      </c>
      <c r="F773" s="5" t="s">
        <v>102</v>
      </c>
      <c r="G773" s="5" t="s">
        <v>99</v>
      </c>
      <c r="H773" s="5" t="s">
        <v>22</v>
      </c>
      <c r="I773" s="5"/>
      <c r="J773" s="5" t="s">
        <v>103</v>
      </c>
      <c r="K773" s="5"/>
      <c r="L773" s="5" t="s">
        <v>101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</row>
    <row r="774" spans="1:32" hidden="1" x14ac:dyDescent="0.2">
      <c r="A774">
        <v>16146</v>
      </c>
      <c r="B774">
        <v>2148</v>
      </c>
      <c r="C774">
        <v>1</v>
      </c>
      <c r="D774">
        <v>12</v>
      </c>
      <c r="E774" s="5" t="s">
        <v>141</v>
      </c>
      <c r="F774" s="5" t="s">
        <v>3</v>
      </c>
      <c r="G774" s="5" t="s">
        <v>99</v>
      </c>
      <c r="H774" s="5" t="s">
        <v>23</v>
      </c>
      <c r="I774" s="5"/>
      <c r="J774" s="5" t="s">
        <v>100</v>
      </c>
      <c r="K774" s="5"/>
      <c r="L774" s="5" t="s">
        <v>101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</row>
    <row r="775" spans="1:32" hidden="1" x14ac:dyDescent="0.2">
      <c r="A775">
        <v>16146</v>
      </c>
      <c r="B775">
        <v>1593</v>
      </c>
      <c r="C775">
        <v>1</v>
      </c>
      <c r="D775">
        <v>12</v>
      </c>
      <c r="E775" s="5" t="s">
        <v>141</v>
      </c>
      <c r="F775" s="5" t="s">
        <v>102</v>
      </c>
      <c r="G775" s="5" t="s">
        <v>99</v>
      </c>
      <c r="H775" s="5" t="s">
        <v>23</v>
      </c>
      <c r="I775" s="5"/>
      <c r="J775" s="5" t="s">
        <v>103</v>
      </c>
      <c r="K775" s="5"/>
      <c r="L775" s="5" t="s">
        <v>101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</row>
    <row r="776" spans="1:32" hidden="1" x14ac:dyDescent="0.2">
      <c r="A776">
        <v>16146</v>
      </c>
      <c r="B776">
        <v>2148</v>
      </c>
      <c r="C776">
        <v>1</v>
      </c>
      <c r="D776">
        <v>19</v>
      </c>
      <c r="E776" s="5" t="s">
        <v>141</v>
      </c>
      <c r="F776" s="5" t="s">
        <v>3</v>
      </c>
      <c r="G776" s="5" t="s">
        <v>99</v>
      </c>
      <c r="H776" s="5" t="s">
        <v>25</v>
      </c>
      <c r="I776" s="5"/>
      <c r="J776" s="5" t="s">
        <v>100</v>
      </c>
      <c r="K776" s="5"/>
      <c r="L776" s="5" t="s">
        <v>101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</row>
    <row r="777" spans="1:32" hidden="1" x14ac:dyDescent="0.2">
      <c r="A777">
        <v>16146</v>
      </c>
      <c r="B777">
        <v>1593</v>
      </c>
      <c r="C777">
        <v>1</v>
      </c>
      <c r="D777">
        <v>19</v>
      </c>
      <c r="E777" s="5" t="s">
        <v>141</v>
      </c>
      <c r="F777" s="5" t="s">
        <v>102</v>
      </c>
      <c r="G777" s="5" t="s">
        <v>99</v>
      </c>
      <c r="H777" s="5" t="s">
        <v>25</v>
      </c>
      <c r="I777" s="5"/>
      <c r="J777" s="5" t="s">
        <v>103</v>
      </c>
      <c r="K777" s="5"/>
      <c r="L777" s="5" t="s">
        <v>101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</row>
    <row r="778" spans="1:32" hidden="1" x14ac:dyDescent="0.2">
      <c r="A778">
        <v>16146</v>
      </c>
      <c r="B778">
        <v>2148</v>
      </c>
      <c r="C778">
        <v>1</v>
      </c>
      <c r="D778">
        <v>16</v>
      </c>
      <c r="E778" s="5" t="s">
        <v>141</v>
      </c>
      <c r="F778" s="5" t="s">
        <v>3</v>
      </c>
      <c r="G778" s="5" t="s">
        <v>99</v>
      </c>
      <c r="H778" s="5" t="s">
        <v>27</v>
      </c>
      <c r="I778" s="5"/>
      <c r="J778" s="5" t="s">
        <v>100</v>
      </c>
      <c r="K778" s="5"/>
      <c r="L778" s="5" t="s">
        <v>101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</row>
    <row r="779" spans="1:32" hidden="1" x14ac:dyDescent="0.2">
      <c r="A779">
        <v>16146</v>
      </c>
      <c r="B779">
        <v>1593</v>
      </c>
      <c r="C779">
        <v>1</v>
      </c>
      <c r="D779">
        <v>16</v>
      </c>
      <c r="E779" s="5" t="s">
        <v>141</v>
      </c>
      <c r="F779" s="5" t="s">
        <v>102</v>
      </c>
      <c r="G779" s="5" t="s">
        <v>99</v>
      </c>
      <c r="H779" s="5" t="s">
        <v>27</v>
      </c>
      <c r="I779" s="5"/>
      <c r="J779" s="5" t="s">
        <v>103</v>
      </c>
      <c r="K779" s="5"/>
      <c r="L779" s="5" t="s">
        <v>101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</row>
    <row r="780" spans="1:32" hidden="1" x14ac:dyDescent="0.2">
      <c r="A780">
        <v>16146</v>
      </c>
      <c r="B780">
        <v>2148</v>
      </c>
      <c r="C780">
        <v>1</v>
      </c>
      <c r="D780">
        <v>11</v>
      </c>
      <c r="E780" s="5" t="s">
        <v>141</v>
      </c>
      <c r="F780" s="5" t="s">
        <v>3</v>
      </c>
      <c r="G780" s="5" t="s">
        <v>99</v>
      </c>
      <c r="H780" s="5" t="s">
        <v>28</v>
      </c>
      <c r="I780" s="5"/>
      <c r="J780" s="5" t="s">
        <v>100</v>
      </c>
      <c r="K780" s="5"/>
      <c r="L780" s="5" t="s">
        <v>101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</row>
    <row r="781" spans="1:32" hidden="1" x14ac:dyDescent="0.2">
      <c r="A781">
        <v>16146</v>
      </c>
      <c r="B781">
        <v>1593</v>
      </c>
      <c r="C781">
        <v>1</v>
      </c>
      <c r="D781">
        <v>11</v>
      </c>
      <c r="E781" s="5" t="s">
        <v>141</v>
      </c>
      <c r="F781" s="5" t="s">
        <v>102</v>
      </c>
      <c r="G781" s="5" t="s">
        <v>99</v>
      </c>
      <c r="H781" s="5" t="s">
        <v>28</v>
      </c>
      <c r="I781" s="5"/>
      <c r="J781" s="5" t="s">
        <v>103</v>
      </c>
      <c r="K781" s="5"/>
      <c r="L781" s="5" t="s">
        <v>101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</row>
    <row r="782" spans="1:32" hidden="1" x14ac:dyDescent="0.2">
      <c r="A782">
        <v>16146</v>
      </c>
      <c r="B782">
        <v>2148</v>
      </c>
      <c r="C782">
        <v>1</v>
      </c>
      <c r="D782">
        <v>14</v>
      </c>
      <c r="E782" s="5" t="s">
        <v>141</v>
      </c>
      <c r="F782" s="5" t="s">
        <v>3</v>
      </c>
      <c r="G782" s="5" t="s">
        <v>99</v>
      </c>
      <c r="H782" s="5" t="s">
        <v>1</v>
      </c>
      <c r="I782" s="5"/>
      <c r="J782" s="5" t="s">
        <v>100</v>
      </c>
      <c r="K782" s="5"/>
      <c r="L782" s="5" t="s">
        <v>101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</row>
    <row r="783" spans="1:32" hidden="1" x14ac:dyDescent="0.2">
      <c r="A783">
        <v>16146</v>
      </c>
      <c r="B783">
        <v>1593</v>
      </c>
      <c r="C783">
        <v>1</v>
      </c>
      <c r="D783">
        <v>14</v>
      </c>
      <c r="E783" s="5" t="s">
        <v>141</v>
      </c>
      <c r="F783" s="5" t="s">
        <v>102</v>
      </c>
      <c r="G783" s="5" t="s">
        <v>99</v>
      </c>
      <c r="H783" s="5" t="s">
        <v>1</v>
      </c>
      <c r="I783" s="5"/>
      <c r="J783" s="5" t="s">
        <v>103</v>
      </c>
      <c r="K783" s="5"/>
      <c r="L783" s="5" t="s">
        <v>101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</row>
    <row r="784" spans="1:32" hidden="1" x14ac:dyDescent="0.2">
      <c r="A784">
        <v>14414</v>
      </c>
      <c r="B784">
        <v>2148</v>
      </c>
      <c r="C784">
        <v>1</v>
      </c>
      <c r="D784">
        <v>15</v>
      </c>
      <c r="E784" s="5" t="s">
        <v>142</v>
      </c>
      <c r="F784" s="5" t="s">
        <v>3</v>
      </c>
      <c r="G784" s="5" t="s">
        <v>99</v>
      </c>
      <c r="H784" s="5" t="s">
        <v>15</v>
      </c>
      <c r="I784" s="5"/>
      <c r="J784" s="5" t="s">
        <v>100</v>
      </c>
      <c r="K784" s="5"/>
      <c r="L784" s="5" t="s">
        <v>101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</row>
    <row r="785" spans="1:32" hidden="1" x14ac:dyDescent="0.2">
      <c r="A785">
        <v>14414</v>
      </c>
      <c r="B785">
        <v>1593</v>
      </c>
      <c r="C785">
        <v>1</v>
      </c>
      <c r="D785">
        <v>15</v>
      </c>
      <c r="E785" s="5" t="s">
        <v>142</v>
      </c>
      <c r="F785" s="5" t="s">
        <v>102</v>
      </c>
      <c r="G785" s="5" t="s">
        <v>99</v>
      </c>
      <c r="H785" s="5" t="s">
        <v>15</v>
      </c>
      <c r="I785" s="5"/>
      <c r="J785" s="5" t="s">
        <v>103</v>
      </c>
      <c r="K785" s="5"/>
      <c r="L785" s="5" t="s">
        <v>101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</row>
    <row r="786" spans="1:32" hidden="1" x14ac:dyDescent="0.2">
      <c r="A786">
        <v>14414</v>
      </c>
      <c r="B786">
        <v>2148</v>
      </c>
      <c r="C786">
        <v>1</v>
      </c>
      <c r="D786">
        <v>6</v>
      </c>
      <c r="E786" s="5" t="s">
        <v>142</v>
      </c>
      <c r="F786" s="5" t="s">
        <v>3</v>
      </c>
      <c r="G786" s="5" t="s">
        <v>99</v>
      </c>
      <c r="H786" s="5" t="s">
        <v>17</v>
      </c>
      <c r="I786" s="5"/>
      <c r="J786" s="5" t="s">
        <v>100</v>
      </c>
      <c r="K786" s="5"/>
      <c r="L786" s="5" t="s">
        <v>101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</row>
    <row r="787" spans="1:32" hidden="1" x14ac:dyDescent="0.2">
      <c r="A787">
        <v>14414</v>
      </c>
      <c r="B787">
        <v>1593</v>
      </c>
      <c r="C787">
        <v>1</v>
      </c>
      <c r="D787">
        <v>6</v>
      </c>
      <c r="E787" s="5" t="s">
        <v>142</v>
      </c>
      <c r="F787" s="5" t="s">
        <v>102</v>
      </c>
      <c r="G787" s="5" t="s">
        <v>99</v>
      </c>
      <c r="H787" s="5" t="s">
        <v>17</v>
      </c>
      <c r="I787" s="5"/>
      <c r="J787" s="5" t="s">
        <v>103</v>
      </c>
      <c r="K787" s="5"/>
      <c r="L787" s="5" t="s">
        <v>101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</row>
    <row r="788" spans="1:32" hidden="1" x14ac:dyDescent="0.2">
      <c r="A788">
        <v>14414</v>
      </c>
      <c r="B788">
        <v>2148</v>
      </c>
      <c r="C788">
        <v>1</v>
      </c>
      <c r="D788">
        <v>1</v>
      </c>
      <c r="E788" s="5" t="s">
        <v>142</v>
      </c>
      <c r="F788" s="5" t="s">
        <v>3</v>
      </c>
      <c r="G788" s="5" t="s">
        <v>99</v>
      </c>
      <c r="H788" s="5" t="s">
        <v>19</v>
      </c>
      <c r="I788" s="5"/>
      <c r="J788" s="5" t="s">
        <v>100</v>
      </c>
      <c r="K788" s="5"/>
      <c r="L788" s="5" t="s">
        <v>101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</row>
    <row r="789" spans="1:32" x14ac:dyDescent="0.2">
      <c r="A789">
        <v>14414</v>
      </c>
      <c r="B789">
        <v>1593</v>
      </c>
      <c r="C789">
        <v>1</v>
      </c>
      <c r="D789">
        <v>1</v>
      </c>
      <c r="E789" s="5" t="s">
        <v>142</v>
      </c>
      <c r="F789" s="5" t="s">
        <v>102</v>
      </c>
      <c r="G789" s="5" t="s">
        <v>99</v>
      </c>
      <c r="H789" s="5" t="s">
        <v>19</v>
      </c>
      <c r="I789" s="5"/>
      <c r="J789" s="5" t="s">
        <v>103</v>
      </c>
      <c r="K789" s="5"/>
      <c r="L789" s="5" t="s">
        <v>101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</row>
    <row r="790" spans="1:32" hidden="1" x14ac:dyDescent="0.2">
      <c r="A790">
        <v>14414</v>
      </c>
      <c r="B790">
        <v>2148</v>
      </c>
      <c r="C790">
        <v>1</v>
      </c>
      <c r="D790">
        <v>13</v>
      </c>
      <c r="E790" s="5" t="s">
        <v>142</v>
      </c>
      <c r="F790" s="5" t="s">
        <v>3</v>
      </c>
      <c r="G790" s="5" t="s">
        <v>99</v>
      </c>
      <c r="H790" s="5" t="s">
        <v>20</v>
      </c>
      <c r="I790" s="5"/>
      <c r="J790" s="5" t="s">
        <v>100</v>
      </c>
      <c r="K790" s="5"/>
      <c r="L790" s="5" t="s">
        <v>101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</row>
    <row r="791" spans="1:32" hidden="1" x14ac:dyDescent="0.2">
      <c r="A791">
        <v>14414</v>
      </c>
      <c r="B791">
        <v>1593</v>
      </c>
      <c r="C791">
        <v>1</v>
      </c>
      <c r="D791">
        <v>13</v>
      </c>
      <c r="E791" s="5" t="s">
        <v>142</v>
      </c>
      <c r="F791" s="5" t="s">
        <v>102</v>
      </c>
      <c r="G791" s="5" t="s">
        <v>99</v>
      </c>
      <c r="H791" s="5" t="s">
        <v>20</v>
      </c>
      <c r="I791" s="5"/>
      <c r="J791" s="5" t="s">
        <v>103</v>
      </c>
      <c r="K791" s="5"/>
      <c r="L791" s="5" t="s">
        <v>101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</row>
    <row r="792" spans="1:32" hidden="1" x14ac:dyDescent="0.2">
      <c r="A792">
        <v>14414</v>
      </c>
      <c r="B792">
        <v>2148</v>
      </c>
      <c r="C792">
        <v>1</v>
      </c>
      <c r="D792">
        <v>17</v>
      </c>
      <c r="E792" s="5" t="s">
        <v>142</v>
      </c>
      <c r="F792" s="5" t="s">
        <v>3</v>
      </c>
      <c r="G792" s="5" t="s">
        <v>99</v>
      </c>
      <c r="H792" s="5" t="s">
        <v>22</v>
      </c>
      <c r="I792" s="5"/>
      <c r="J792" s="5" t="s">
        <v>100</v>
      </c>
      <c r="K792" s="5"/>
      <c r="L792" s="5" t="s">
        <v>101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</row>
    <row r="793" spans="1:32" hidden="1" x14ac:dyDescent="0.2">
      <c r="A793">
        <v>14414</v>
      </c>
      <c r="B793">
        <v>1593</v>
      </c>
      <c r="C793">
        <v>1</v>
      </c>
      <c r="D793">
        <v>17</v>
      </c>
      <c r="E793" s="5" t="s">
        <v>142</v>
      </c>
      <c r="F793" s="5" t="s">
        <v>102</v>
      </c>
      <c r="G793" s="5" t="s">
        <v>99</v>
      </c>
      <c r="H793" s="5" t="s">
        <v>22</v>
      </c>
      <c r="I793" s="5"/>
      <c r="J793" s="5" t="s">
        <v>103</v>
      </c>
      <c r="K793" s="5"/>
      <c r="L793" s="5" t="s">
        <v>101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</row>
    <row r="794" spans="1:32" hidden="1" x14ac:dyDescent="0.2">
      <c r="A794">
        <v>14414</v>
      </c>
      <c r="B794">
        <v>2148</v>
      </c>
      <c r="C794">
        <v>1</v>
      </c>
      <c r="D794">
        <v>12</v>
      </c>
      <c r="E794" s="5" t="s">
        <v>142</v>
      </c>
      <c r="F794" s="5" t="s">
        <v>3</v>
      </c>
      <c r="G794" s="5" t="s">
        <v>99</v>
      </c>
      <c r="H794" s="5" t="s">
        <v>23</v>
      </c>
      <c r="I794" s="5"/>
      <c r="J794" s="5" t="s">
        <v>100</v>
      </c>
      <c r="K794" s="5"/>
      <c r="L794" s="5" t="s">
        <v>101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</row>
    <row r="795" spans="1:32" hidden="1" x14ac:dyDescent="0.2">
      <c r="A795">
        <v>14414</v>
      </c>
      <c r="B795">
        <v>1593</v>
      </c>
      <c r="C795">
        <v>1</v>
      </c>
      <c r="D795">
        <v>12</v>
      </c>
      <c r="E795" s="5" t="s">
        <v>142</v>
      </c>
      <c r="F795" s="5" t="s">
        <v>102</v>
      </c>
      <c r="G795" s="5" t="s">
        <v>99</v>
      </c>
      <c r="H795" s="5" t="s">
        <v>23</v>
      </c>
      <c r="I795" s="5"/>
      <c r="J795" s="5" t="s">
        <v>103</v>
      </c>
      <c r="K795" s="5"/>
      <c r="L795" s="5" t="s">
        <v>101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</row>
    <row r="796" spans="1:32" hidden="1" x14ac:dyDescent="0.2">
      <c r="A796">
        <v>14414</v>
      </c>
      <c r="B796">
        <v>2148</v>
      </c>
      <c r="C796">
        <v>1</v>
      </c>
      <c r="D796">
        <v>19</v>
      </c>
      <c r="E796" s="5" t="s">
        <v>142</v>
      </c>
      <c r="F796" s="5" t="s">
        <v>3</v>
      </c>
      <c r="G796" s="5" t="s">
        <v>99</v>
      </c>
      <c r="H796" s="5" t="s">
        <v>25</v>
      </c>
      <c r="I796" s="5"/>
      <c r="J796" s="5" t="s">
        <v>100</v>
      </c>
      <c r="K796" s="5"/>
      <c r="L796" s="5" t="s">
        <v>101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</row>
    <row r="797" spans="1:32" hidden="1" x14ac:dyDescent="0.2">
      <c r="A797">
        <v>14414</v>
      </c>
      <c r="B797">
        <v>1593</v>
      </c>
      <c r="C797">
        <v>1</v>
      </c>
      <c r="D797">
        <v>19</v>
      </c>
      <c r="E797" s="5" t="s">
        <v>142</v>
      </c>
      <c r="F797" s="5" t="s">
        <v>102</v>
      </c>
      <c r="G797" s="5" t="s">
        <v>99</v>
      </c>
      <c r="H797" s="5" t="s">
        <v>25</v>
      </c>
      <c r="I797" s="5"/>
      <c r="J797" s="5" t="s">
        <v>103</v>
      </c>
      <c r="K797" s="5"/>
      <c r="L797" s="5" t="s">
        <v>101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</row>
    <row r="798" spans="1:32" hidden="1" x14ac:dyDescent="0.2">
      <c r="A798">
        <v>14414</v>
      </c>
      <c r="B798">
        <v>2148</v>
      </c>
      <c r="C798">
        <v>1</v>
      </c>
      <c r="D798">
        <v>16</v>
      </c>
      <c r="E798" s="5" t="s">
        <v>142</v>
      </c>
      <c r="F798" s="5" t="s">
        <v>3</v>
      </c>
      <c r="G798" s="5" t="s">
        <v>99</v>
      </c>
      <c r="H798" s="5" t="s">
        <v>27</v>
      </c>
      <c r="I798" s="5"/>
      <c r="J798" s="5" t="s">
        <v>100</v>
      </c>
      <c r="K798" s="5"/>
      <c r="L798" s="5" t="s">
        <v>101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</row>
    <row r="799" spans="1:32" hidden="1" x14ac:dyDescent="0.2">
      <c r="A799">
        <v>14414</v>
      </c>
      <c r="B799">
        <v>1593</v>
      </c>
      <c r="C799">
        <v>1</v>
      </c>
      <c r="D799">
        <v>16</v>
      </c>
      <c r="E799" s="5" t="s">
        <v>142</v>
      </c>
      <c r="F799" s="5" t="s">
        <v>102</v>
      </c>
      <c r="G799" s="5" t="s">
        <v>99</v>
      </c>
      <c r="H799" s="5" t="s">
        <v>27</v>
      </c>
      <c r="I799" s="5"/>
      <c r="J799" s="5" t="s">
        <v>103</v>
      </c>
      <c r="K799" s="5"/>
      <c r="L799" s="5" t="s">
        <v>101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</row>
    <row r="800" spans="1:32" hidden="1" x14ac:dyDescent="0.2">
      <c r="A800">
        <v>14414</v>
      </c>
      <c r="B800">
        <v>2148</v>
      </c>
      <c r="C800">
        <v>1</v>
      </c>
      <c r="D800">
        <v>11</v>
      </c>
      <c r="E800" s="5" t="s">
        <v>142</v>
      </c>
      <c r="F800" s="5" t="s">
        <v>3</v>
      </c>
      <c r="G800" s="5" t="s">
        <v>99</v>
      </c>
      <c r="H800" s="5" t="s">
        <v>28</v>
      </c>
      <c r="I800" s="5"/>
      <c r="J800" s="5" t="s">
        <v>100</v>
      </c>
      <c r="K800" s="5"/>
      <c r="L800" s="5" t="s">
        <v>101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</row>
    <row r="801" spans="1:32" hidden="1" x14ac:dyDescent="0.2">
      <c r="A801">
        <v>14414</v>
      </c>
      <c r="B801">
        <v>1593</v>
      </c>
      <c r="C801">
        <v>1</v>
      </c>
      <c r="D801">
        <v>11</v>
      </c>
      <c r="E801" s="5" t="s">
        <v>142</v>
      </c>
      <c r="F801" s="5" t="s">
        <v>102</v>
      </c>
      <c r="G801" s="5" t="s">
        <v>99</v>
      </c>
      <c r="H801" s="5" t="s">
        <v>28</v>
      </c>
      <c r="I801" s="5"/>
      <c r="J801" s="5" t="s">
        <v>103</v>
      </c>
      <c r="K801" s="5"/>
      <c r="L801" s="5" t="s">
        <v>101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</row>
    <row r="802" spans="1:32" hidden="1" x14ac:dyDescent="0.2">
      <c r="A802">
        <v>14414</v>
      </c>
      <c r="B802">
        <v>2148</v>
      </c>
      <c r="C802">
        <v>1</v>
      </c>
      <c r="D802">
        <v>14</v>
      </c>
      <c r="E802" s="5" t="s">
        <v>142</v>
      </c>
      <c r="F802" s="5" t="s">
        <v>3</v>
      </c>
      <c r="G802" s="5" t="s">
        <v>99</v>
      </c>
      <c r="H802" s="5" t="s">
        <v>1</v>
      </c>
      <c r="I802" s="5"/>
      <c r="J802" s="5" t="s">
        <v>100</v>
      </c>
      <c r="K802" s="5"/>
      <c r="L802" s="5" t="s">
        <v>101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</row>
    <row r="803" spans="1:32" hidden="1" x14ac:dyDescent="0.2">
      <c r="A803">
        <v>14414</v>
      </c>
      <c r="B803">
        <v>1593</v>
      </c>
      <c r="C803">
        <v>1</v>
      </c>
      <c r="D803">
        <v>14</v>
      </c>
      <c r="E803" s="5" t="s">
        <v>142</v>
      </c>
      <c r="F803" s="5" t="s">
        <v>102</v>
      </c>
      <c r="G803" s="5" t="s">
        <v>99</v>
      </c>
      <c r="H803" s="5" t="s">
        <v>1</v>
      </c>
      <c r="I803" s="5"/>
      <c r="J803" s="5" t="s">
        <v>103</v>
      </c>
      <c r="K803" s="5"/>
      <c r="L803" s="5" t="s">
        <v>101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</row>
    <row r="804" spans="1:32" x14ac:dyDescent="0.2"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A1BD-3E0A-4C77-A9C1-36D3B1473E6F}">
  <sheetPr filterMode="1"/>
  <dimension ref="A1:AB191"/>
  <sheetViews>
    <sheetView tabSelected="1" zoomScale="118" zoomScaleNormal="118" workbookViewId="0">
      <pane xSplit="4" ySplit="1" topLeftCell="M33" activePane="bottomRight" state="frozen"/>
      <selection pane="topRight" activeCell="E1" sqref="E1"/>
      <selection pane="bottomLeft" activeCell="A2" sqref="A2"/>
      <selection pane="bottomRight" activeCell="V33" sqref="V33"/>
    </sheetView>
  </sheetViews>
  <sheetFormatPr defaultRowHeight="14.25" x14ac:dyDescent="0.2"/>
  <cols>
    <col min="1" max="1" width="9.625" bestFit="1" customWidth="1"/>
    <col min="2" max="2" width="17.875" bestFit="1" customWidth="1"/>
    <col min="3" max="3" width="10.125" customWidth="1"/>
    <col min="4" max="4" width="69.75" bestFit="1" customWidth="1"/>
    <col min="28" max="28" width="26" bestFit="1" customWidth="1"/>
    <col min="30" max="30" width="19" bestFit="1" customWidth="1"/>
    <col min="31" max="31" width="32.375" bestFit="1" customWidth="1"/>
  </cols>
  <sheetData>
    <row r="1" spans="1:28" x14ac:dyDescent="0.2">
      <c r="A1" t="s">
        <v>0</v>
      </c>
      <c r="B1" t="s">
        <v>2</v>
      </c>
      <c r="C1" t="s">
        <v>46</v>
      </c>
      <c r="D1" t="s">
        <v>91</v>
      </c>
      <c r="E1" cm="1">
        <f t="array" ref="E1:X1">_xlfn.SEQUENCE(,20,2005)</f>
        <v>2005</v>
      </c>
      <c r="F1">
        <v>2006</v>
      </c>
      <c r="G1">
        <v>2007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  <c r="S1">
        <v>2019</v>
      </c>
      <c r="T1">
        <v>2020</v>
      </c>
      <c r="U1">
        <v>2021</v>
      </c>
      <c r="V1">
        <v>2022</v>
      </c>
      <c r="W1">
        <v>2023</v>
      </c>
      <c r="X1">
        <v>2024</v>
      </c>
    </row>
    <row r="2" spans="1:28" hidden="1" x14ac:dyDescent="0.2">
      <c r="A2" t="s">
        <v>15</v>
      </c>
      <c r="B2" t="s">
        <v>102</v>
      </c>
      <c r="C2" t="str">
        <f>IF(B2="Existing Capacity", "MW", "GWh")</f>
        <v>MW</v>
      </c>
      <c r="D2" t="str" cm="1">
        <f t="array" aca="1" ref="D2:X6" ca="1">_xlfn.LET(_xlpm.country,A2,
_xlpm.table,INDIRECT(IF(B2="Existing Capacity",_xlpm.country,_xlpm.country&amp;"_HP")),
_xlpm.val,_xlfn._xlws.FILTER(_xlfn.HSTACK(leap[Branch Path],leap[[2005]:[2024]]),(leap[Region]=A2)*(leap[Variable]=B2)),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IGCC</v>
      </c>
      <c r="E2" s="17">
        <f ca="1"/>
        <v>0</v>
      </c>
      <c r="F2" s="17">
        <f ca="1"/>
        <v>0</v>
      </c>
      <c r="G2" s="17">
        <f ca="1"/>
        <v>0</v>
      </c>
      <c r="H2" s="17">
        <f ca="1"/>
        <v>0</v>
      </c>
      <c r="I2" s="17">
        <f ca="1"/>
        <v>0</v>
      </c>
      <c r="J2" s="17">
        <f ca="1"/>
        <v>0</v>
      </c>
      <c r="K2" s="17">
        <f ca="1"/>
        <v>0</v>
      </c>
      <c r="L2" s="17">
        <f ca="1"/>
        <v>0</v>
      </c>
      <c r="M2" s="17">
        <f ca="1"/>
        <v>0</v>
      </c>
      <c r="N2" s="17">
        <f ca="1"/>
        <v>0</v>
      </c>
      <c r="O2" s="17">
        <f ca="1"/>
        <v>0</v>
      </c>
      <c r="P2" s="17">
        <f ca="1"/>
        <v>0</v>
      </c>
      <c r="Q2" s="17">
        <f ca="1"/>
        <v>0</v>
      </c>
      <c r="R2" s="17">
        <f ca="1"/>
        <v>0</v>
      </c>
      <c r="S2" s="17">
        <f ca="1"/>
        <v>254</v>
      </c>
      <c r="T2" s="17">
        <f ca="1"/>
        <v>254</v>
      </c>
      <c r="U2" s="17">
        <f ca="1"/>
        <v>254</v>
      </c>
      <c r="V2" s="17">
        <f ca="1"/>
        <v>254</v>
      </c>
      <c r="W2" s="17">
        <f ca="1"/>
        <v>254</v>
      </c>
      <c r="X2" s="17">
        <f ca="1"/>
        <v>254</v>
      </c>
      <c r="AB2" t="str" cm="1">
        <f t="array" aca="1" ref="AB2:AB25" ca="1">_xlfn.UNIQUE(_xlfn.TEXTAFTER(_xlfn._xlws.FILTER(D:D,A:A="Malaysia"),"\",3))</f>
        <v>Coal Subcritical</v>
      </c>
    </row>
    <row r="3" spans="1:28" hidden="1" x14ac:dyDescent="0.2">
      <c r="A3" t="str" cm="1">
        <f t="array" aca="1" ref="A3:A6" ca="1">_xlfn.TOCOL(IF(_xlfn.SEQUENCE(, ROWS(_xlfn.ANCHORARRAY(D2))-1)&lt;=ROWS(_xlfn.ANCHORARRAY(D2))-1,A2,NA()))</f>
        <v>Brunei</v>
      </c>
      <c r="B3" t="str" cm="1">
        <f t="array" aca="1" ref="B3:B6" ca="1">_xlfn.TOCOL(IF(_xlfn.SEQUENCE(, ROWS(_xlfn.ANCHORARRAY(D2))-1)&lt;=ROWS(_xlfn.ANCHORARRAY(D2))-1,B2,NA()))</f>
        <v>Existing Capacity</v>
      </c>
      <c r="C3" t="str" cm="1">
        <f t="array" aca="1" ref="C3:C6" ca="1">_xlfn.TOCOL(IF(_xlfn.SEQUENCE(, ROWS(_xlfn.ANCHORARRAY(D2))-1)&lt;=ROWS(_xlfn.ANCHORARRAY(D2))-1,C2,NA()))</f>
        <v>MW</v>
      </c>
      <c r="D3" t="str">
        <f ca="1"/>
        <v>Transformation\Centralized Electricity Generation\Processes\Diesel</v>
      </c>
      <c r="E3" s="17">
        <f ca="1"/>
        <v>13.5</v>
      </c>
      <c r="F3" s="17">
        <f ca="1"/>
        <v>13.5</v>
      </c>
      <c r="G3" s="17">
        <f ca="1"/>
        <v>13.5</v>
      </c>
      <c r="H3" s="17">
        <f ca="1"/>
        <v>13.5</v>
      </c>
      <c r="I3" s="17">
        <f ca="1"/>
        <v>13.5</v>
      </c>
      <c r="J3" s="17">
        <f ca="1"/>
        <v>15</v>
      </c>
      <c r="K3" s="17">
        <f ca="1"/>
        <v>14</v>
      </c>
      <c r="L3" s="17">
        <f ca="1"/>
        <v>14</v>
      </c>
      <c r="M3" s="17">
        <f ca="1"/>
        <v>14</v>
      </c>
      <c r="N3" s="17">
        <f ca="1"/>
        <v>14</v>
      </c>
      <c r="O3" s="17">
        <f ca="1"/>
        <v>12</v>
      </c>
      <c r="P3" s="17">
        <f ca="1"/>
        <v>12</v>
      </c>
      <c r="Q3" s="17">
        <f ca="1"/>
        <v>12</v>
      </c>
      <c r="R3" s="17">
        <f ca="1"/>
        <v>12</v>
      </c>
      <c r="S3" s="17">
        <f ca="1"/>
        <v>12</v>
      </c>
      <c r="T3" s="17">
        <f ca="1"/>
        <v>12</v>
      </c>
      <c r="U3" s="17">
        <f ca="1"/>
        <v>15</v>
      </c>
      <c r="V3" s="17">
        <f ca="1"/>
        <v>15</v>
      </c>
      <c r="W3" s="17">
        <f ca="1"/>
        <v>15</v>
      </c>
      <c r="X3" s="17">
        <f ca="1"/>
        <v>15</v>
      </c>
      <c r="AB3" t="str">
        <f ca="1"/>
        <v>Coal Ultrasupercritical</v>
      </c>
    </row>
    <row r="4" spans="1:28" hidden="1" x14ac:dyDescent="0.2">
      <c r="A4" t="str">
        <f ca="1"/>
        <v>Brunei</v>
      </c>
      <c r="B4" t="str">
        <f ca="1"/>
        <v>Existing Capacity</v>
      </c>
      <c r="C4" t="str">
        <f ca="1"/>
        <v>MW</v>
      </c>
      <c r="D4" t="str">
        <f ca="1"/>
        <v>Transformation\Centralized Electricity Generation\Processes\Gas Turbine</v>
      </c>
      <c r="E4" s="17">
        <f ca="1"/>
        <v>567.43000000000006</v>
      </c>
      <c r="F4" s="17">
        <f ca="1"/>
        <v>566.97</v>
      </c>
      <c r="G4" s="17">
        <f ca="1"/>
        <v>566.59</v>
      </c>
      <c r="H4" s="17">
        <f ca="1"/>
        <v>569.04</v>
      </c>
      <c r="I4" s="17">
        <f ca="1"/>
        <v>569.71</v>
      </c>
      <c r="J4" s="17">
        <f ca="1"/>
        <v>576.95000000000005</v>
      </c>
      <c r="K4" s="17">
        <f ca="1"/>
        <v>583.95000000000005</v>
      </c>
      <c r="L4" s="17">
        <f ca="1"/>
        <v>605.95000000000005</v>
      </c>
      <c r="M4" s="17">
        <f ca="1"/>
        <v>607.49</v>
      </c>
      <c r="N4" s="17">
        <f ca="1"/>
        <v>610.39</v>
      </c>
      <c r="O4" s="17">
        <f ca="1"/>
        <v>613.99</v>
      </c>
      <c r="P4" s="17">
        <f ca="1"/>
        <v>613.99</v>
      </c>
      <c r="Q4" s="17">
        <f ca="1"/>
        <v>613.99</v>
      </c>
      <c r="R4" s="17">
        <f ca="1"/>
        <v>613.73</v>
      </c>
      <c r="S4" s="17">
        <f ca="1"/>
        <v>627.73</v>
      </c>
      <c r="T4" s="17">
        <f ca="1"/>
        <v>627.73</v>
      </c>
      <c r="U4" s="17">
        <f ca="1"/>
        <v>669.43000000000006</v>
      </c>
      <c r="V4" s="17">
        <f ca="1"/>
        <v>669.43</v>
      </c>
      <c r="W4" s="17">
        <f ca="1"/>
        <v>669.43000000000006</v>
      </c>
      <c r="X4" s="17">
        <f ca="1"/>
        <v>669.43000000000006</v>
      </c>
      <c r="AB4" t="str">
        <f ca="1"/>
        <v>Diesel</v>
      </c>
    </row>
    <row r="5" spans="1:28" hidden="1" x14ac:dyDescent="0.2">
      <c r="A5" t="str">
        <f ca="1"/>
        <v>Brunei</v>
      </c>
      <c r="B5" t="str">
        <f ca="1"/>
        <v>Existing Capacity</v>
      </c>
      <c r="C5" t="str">
        <f ca="1"/>
        <v>MW</v>
      </c>
      <c r="D5" t="str">
        <f ca="1"/>
        <v>Transformation\Centralized Electricity Generation\Processes\Gas Combined Cycle</v>
      </c>
      <c r="E5" s="17">
        <f ca="1"/>
        <v>180</v>
      </c>
      <c r="F5" s="17">
        <f ca="1"/>
        <v>180</v>
      </c>
      <c r="G5" s="17">
        <f ca="1"/>
        <v>296</v>
      </c>
      <c r="H5" s="17">
        <f ca="1"/>
        <v>296</v>
      </c>
      <c r="I5" s="17">
        <f ca="1"/>
        <v>296</v>
      </c>
      <c r="J5" s="17">
        <f ca="1"/>
        <v>296</v>
      </c>
      <c r="K5" s="17">
        <f ca="1"/>
        <v>296</v>
      </c>
      <c r="L5" s="17">
        <f ca="1"/>
        <v>296</v>
      </c>
      <c r="M5" s="17">
        <f ca="1"/>
        <v>296</v>
      </c>
      <c r="N5" s="17">
        <f ca="1"/>
        <v>296</v>
      </c>
      <c r="O5" s="17">
        <f ca="1"/>
        <v>296</v>
      </c>
      <c r="P5" s="17">
        <f ca="1"/>
        <v>331</v>
      </c>
      <c r="Q5" s="17">
        <f ca="1"/>
        <v>366</v>
      </c>
      <c r="R5" s="17">
        <f ca="1"/>
        <v>366</v>
      </c>
      <c r="S5" s="17">
        <f ca="1"/>
        <v>366</v>
      </c>
      <c r="T5" s="17">
        <f ca="1"/>
        <v>366</v>
      </c>
      <c r="U5" s="17">
        <f ca="1"/>
        <v>366</v>
      </c>
      <c r="V5" s="17">
        <f ca="1"/>
        <v>366</v>
      </c>
      <c r="W5" s="17">
        <f ca="1"/>
        <v>366</v>
      </c>
      <c r="X5" s="17">
        <f ca="1"/>
        <v>366</v>
      </c>
      <c r="AB5" t="str">
        <f ca="1"/>
        <v>Gas Combined Cycle</v>
      </c>
    </row>
    <row r="6" spans="1:28" hidden="1" x14ac:dyDescent="0.2">
      <c r="A6" t="str">
        <f ca="1"/>
        <v>Brunei</v>
      </c>
      <c r="B6" t="str">
        <f ca="1"/>
        <v>Existing Capacity</v>
      </c>
      <c r="C6" t="str">
        <f ca="1"/>
        <v>MW</v>
      </c>
      <c r="D6" t="str">
        <f ca="1"/>
        <v>Transformation\Centralized Electricity Generation\Processes\Solar PV</v>
      </c>
      <c r="E6" s="17">
        <f ca="1"/>
        <v>0</v>
      </c>
      <c r="F6" s="17">
        <f ca="1"/>
        <v>0</v>
      </c>
      <c r="G6" s="17">
        <f ca="1"/>
        <v>0</v>
      </c>
      <c r="H6" s="17">
        <f ca="1"/>
        <v>0</v>
      </c>
      <c r="I6" s="17">
        <f ca="1"/>
        <v>0</v>
      </c>
      <c r="J6" s="17">
        <f ca="1"/>
        <v>1</v>
      </c>
      <c r="K6" s="17">
        <f ca="1"/>
        <v>1</v>
      </c>
      <c r="L6" s="17">
        <f ca="1"/>
        <v>1</v>
      </c>
      <c r="M6" s="17">
        <f ca="1"/>
        <v>1</v>
      </c>
      <c r="N6" s="17">
        <f ca="1"/>
        <v>1</v>
      </c>
      <c r="O6" s="17">
        <f ca="1"/>
        <v>1</v>
      </c>
      <c r="P6" s="17">
        <f ca="1"/>
        <v>1</v>
      </c>
      <c r="Q6" s="17">
        <f ca="1"/>
        <v>1</v>
      </c>
      <c r="R6" s="17">
        <f ca="1"/>
        <v>1.2</v>
      </c>
      <c r="S6" s="17">
        <f ca="1"/>
        <v>1.2</v>
      </c>
      <c r="T6" s="17">
        <f ca="1"/>
        <v>1.2</v>
      </c>
      <c r="U6" s="17">
        <f ca="1"/>
        <v>4.5</v>
      </c>
      <c r="V6" s="17">
        <f ca="1"/>
        <v>4.5</v>
      </c>
      <c r="W6" s="17">
        <f ca="1"/>
        <v>4.5</v>
      </c>
      <c r="X6" s="17">
        <f ca="1"/>
        <v>6.8</v>
      </c>
      <c r="AB6" t="str">
        <f ca="1"/>
        <v>Large Hydro</v>
      </c>
    </row>
    <row r="7" spans="1:28" hidden="1" x14ac:dyDescent="0.2">
      <c r="A7" t="s">
        <v>17</v>
      </c>
      <c r="B7" t="s">
        <v>102</v>
      </c>
      <c r="C7" t="str">
        <f>IF(B7="Existing Capacity", "MW", "GWh")</f>
        <v>MW</v>
      </c>
      <c r="D7" t="str" cm="1">
        <f t="array" aca="1" ref="D7:X12" ca="1">_xlfn.LET(_xlpm.country,A7,
_xlpm.table,INDIRECT(IF(B7="Existing Capacity",_xlpm.country,_xlpm.country&amp;"_HP")),
_xlpm.val,_xlfn._xlws.FILTER(_xlfn.HSTACK(leap[Branch Path],leap[[2005]:[2024]]),(leap[Region]=A7)*(leap[Variable]=B7)),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7" s="17">
        <f ca="1"/>
        <v>0</v>
      </c>
      <c r="F7" s="17">
        <f ca="1"/>
        <v>0</v>
      </c>
      <c r="G7" s="17">
        <f ca="1"/>
        <v>0</v>
      </c>
      <c r="H7" s="17">
        <f ca="1"/>
        <v>13</v>
      </c>
      <c r="I7" s="17">
        <f ca="1"/>
        <v>13</v>
      </c>
      <c r="J7" s="17">
        <f ca="1"/>
        <v>13</v>
      </c>
      <c r="K7" s="17">
        <f ca="1"/>
        <v>13</v>
      </c>
      <c r="L7" s="17">
        <f ca="1"/>
        <v>13</v>
      </c>
      <c r="M7" s="17">
        <f ca="1"/>
        <v>113</v>
      </c>
      <c r="N7" s="17">
        <f ca="1"/>
        <v>268</v>
      </c>
      <c r="O7" s="17">
        <f ca="1"/>
        <v>403</v>
      </c>
      <c r="P7" s="17">
        <f ca="1"/>
        <v>429.2</v>
      </c>
      <c r="Q7" s="17">
        <f ca="1"/>
        <v>538</v>
      </c>
      <c r="R7" s="17">
        <f ca="1"/>
        <v>551</v>
      </c>
      <c r="S7" s="17">
        <f ca="1"/>
        <v>709</v>
      </c>
      <c r="T7" s="17">
        <f ca="1"/>
        <v>675</v>
      </c>
      <c r="U7" s="17">
        <f ca="1"/>
        <v>675</v>
      </c>
      <c r="V7" s="17">
        <f ca="1"/>
        <v>1025</v>
      </c>
      <c r="W7" s="17">
        <f ca="1"/>
        <v>1300</v>
      </c>
      <c r="X7" s="17">
        <f ca="1"/>
        <v>1300</v>
      </c>
      <c r="AB7" t="str">
        <f ca="1"/>
        <v>Solar PV</v>
      </c>
    </row>
    <row r="8" spans="1:28" hidden="1" x14ac:dyDescent="0.2">
      <c r="A8" t="str" cm="1">
        <f t="array" aca="1" ref="A8:A12" ca="1">_xlfn.TOCOL(IF(_xlfn.SEQUENCE(, ROWS(_xlfn.ANCHORARRAY(D7))-1)&lt;=ROWS(_xlfn.ANCHORARRAY(D7))-1,A7,NA()))</f>
        <v>Cambodia</v>
      </c>
      <c r="B8" t="str" cm="1">
        <f t="array" aca="1" ref="B8:B12" ca="1">_xlfn.TOCOL(IF(_xlfn.SEQUENCE(, ROWS(_xlfn.ANCHORARRAY(D7))-1)&lt;=ROWS(_xlfn.ANCHORARRAY(D7))-1,B7,NA()))</f>
        <v>Existing Capacity</v>
      </c>
      <c r="C8" t="str" cm="1">
        <f t="array" aca="1" ref="C8:C12" ca="1">_xlfn.TOCOL(IF(_xlfn.SEQUENCE(, ROWS(_xlfn.ANCHORARRAY(D7))-1)&lt;=ROWS(_xlfn.ANCHORARRAY(D7))-1,C7,NA()))</f>
        <v>MW</v>
      </c>
      <c r="D8" t="str">
        <f ca="1"/>
        <v>Transformation\Centralized Electricity Generation\Processes\Diesel</v>
      </c>
      <c r="E8" s="17">
        <f ca="1"/>
        <v>20</v>
      </c>
      <c r="F8" s="17">
        <f ca="1"/>
        <v>20</v>
      </c>
      <c r="G8" s="17">
        <f ca="1"/>
        <v>35</v>
      </c>
      <c r="H8" s="17">
        <f ca="1"/>
        <v>43</v>
      </c>
      <c r="I8" s="17">
        <f ca="1"/>
        <v>38</v>
      </c>
      <c r="J8" s="17">
        <f ca="1"/>
        <v>39</v>
      </c>
      <c r="K8" s="17">
        <f ca="1"/>
        <v>57</v>
      </c>
      <c r="L8" s="17">
        <f ca="1"/>
        <v>54</v>
      </c>
      <c r="M8" s="17">
        <f ca="1"/>
        <v>59</v>
      </c>
      <c r="N8" s="17">
        <f ca="1"/>
        <v>34</v>
      </c>
      <c r="O8" s="17">
        <f ca="1"/>
        <v>40</v>
      </c>
      <c r="P8" s="17">
        <f ca="1"/>
        <v>40</v>
      </c>
      <c r="Q8" s="17">
        <f ca="1"/>
        <v>13</v>
      </c>
      <c r="R8" s="17">
        <f ca="1"/>
        <v>0</v>
      </c>
      <c r="S8" s="17">
        <f ca="1"/>
        <v>0</v>
      </c>
      <c r="T8" s="17">
        <f ca="1"/>
        <v>0</v>
      </c>
      <c r="U8" s="17">
        <f ca="1"/>
        <v>0</v>
      </c>
      <c r="V8" s="17">
        <f ca="1"/>
        <v>0</v>
      </c>
      <c r="W8" s="17">
        <f ca="1"/>
        <v>0</v>
      </c>
      <c r="X8" s="17">
        <f ca="1"/>
        <v>0</v>
      </c>
      <c r="AB8" t="str">
        <f ca="1"/>
        <v>Biomass Other</v>
      </c>
    </row>
    <row r="9" spans="1:28" hidden="1" x14ac:dyDescent="0.2">
      <c r="A9" t="str">
        <f ca="1"/>
        <v>Cambodia</v>
      </c>
      <c r="B9" t="str">
        <f ca="1"/>
        <v>Existing Capacity</v>
      </c>
      <c r="C9" t="str">
        <f ca="1"/>
        <v>MW</v>
      </c>
      <c r="D9" t="str">
        <f ca="1"/>
        <v>Transformation\Centralized Electricity Generation\Processes\Fuel Oil</v>
      </c>
      <c r="E9" s="17">
        <f ca="1"/>
        <v>199</v>
      </c>
      <c r="F9" s="17">
        <f ca="1"/>
        <v>262</v>
      </c>
      <c r="G9" s="17">
        <f ca="1"/>
        <v>262</v>
      </c>
      <c r="H9" s="17">
        <f ca="1"/>
        <v>310</v>
      </c>
      <c r="I9" s="17">
        <f ca="1"/>
        <v>302</v>
      </c>
      <c r="J9" s="17">
        <f ca="1"/>
        <v>289</v>
      </c>
      <c r="K9" s="17">
        <f ca="1"/>
        <v>285</v>
      </c>
      <c r="L9" s="17">
        <f ca="1"/>
        <v>267</v>
      </c>
      <c r="M9" s="17">
        <f ca="1"/>
        <v>266</v>
      </c>
      <c r="N9" s="17">
        <f ca="1"/>
        <v>257</v>
      </c>
      <c r="O9" s="17">
        <f ca="1"/>
        <v>218</v>
      </c>
      <c r="P9" s="17">
        <f ca="1"/>
        <v>274</v>
      </c>
      <c r="Q9" s="17">
        <f ca="1"/>
        <v>251</v>
      </c>
      <c r="R9" s="17">
        <f ca="1"/>
        <v>267</v>
      </c>
      <c r="S9" s="17">
        <f ca="1"/>
        <v>270</v>
      </c>
      <c r="T9" s="17">
        <f ca="1"/>
        <v>659</v>
      </c>
      <c r="U9" s="17">
        <f ca="1"/>
        <v>619.6</v>
      </c>
      <c r="V9" s="17">
        <f ca="1"/>
        <v>642.6</v>
      </c>
      <c r="W9" s="17">
        <f ca="1"/>
        <v>400</v>
      </c>
      <c r="X9" s="17">
        <f ca="1"/>
        <v>400</v>
      </c>
      <c r="AB9" t="str">
        <f ca="1"/>
        <v>Biogas</v>
      </c>
    </row>
    <row r="10" spans="1:28" hidden="1" x14ac:dyDescent="0.2">
      <c r="A10" t="str">
        <f ca="1"/>
        <v>Cambodia</v>
      </c>
      <c r="B10" t="str">
        <f ca="1"/>
        <v>Existing Capacity</v>
      </c>
      <c r="C10" t="str">
        <f ca="1"/>
        <v>MW</v>
      </c>
      <c r="D10" t="str">
        <f ca="1"/>
        <v>Transformation\Centralized Electricity Generation\Processes\Large Hydro</v>
      </c>
      <c r="E10" s="17">
        <f ca="1"/>
        <v>12.96</v>
      </c>
      <c r="F10" s="17">
        <f ca="1"/>
        <v>12.96</v>
      </c>
      <c r="G10" s="17">
        <f ca="1"/>
        <v>12.96</v>
      </c>
      <c r="H10" s="17">
        <f ca="1"/>
        <v>13.386000000000001</v>
      </c>
      <c r="I10" s="17">
        <f ca="1"/>
        <v>13.35</v>
      </c>
      <c r="J10" s="17">
        <f ca="1"/>
        <v>13.33</v>
      </c>
      <c r="K10" s="17">
        <f ca="1"/>
        <v>207.06</v>
      </c>
      <c r="L10" s="17">
        <f ca="1"/>
        <v>225.43</v>
      </c>
      <c r="M10" s="17">
        <f ca="1"/>
        <v>682.1</v>
      </c>
      <c r="N10" s="17">
        <f ca="1"/>
        <v>682.1</v>
      </c>
      <c r="O10" s="17">
        <f ca="1"/>
        <v>927</v>
      </c>
      <c r="P10" s="17">
        <f ca="1"/>
        <v>929.7</v>
      </c>
      <c r="Q10" s="17">
        <f ca="1"/>
        <v>979.7</v>
      </c>
      <c r="R10" s="17">
        <f ca="1"/>
        <v>1330</v>
      </c>
      <c r="S10" s="17">
        <f ca="1"/>
        <v>1330</v>
      </c>
      <c r="T10" s="17">
        <f ca="1"/>
        <v>1330</v>
      </c>
      <c r="U10" s="17">
        <f ca="1"/>
        <v>1329.7</v>
      </c>
      <c r="V10" s="17">
        <f ca="1"/>
        <v>1331.7</v>
      </c>
      <c r="W10" s="17">
        <f ca="1"/>
        <v>1791</v>
      </c>
      <c r="X10" s="17">
        <f ca="1"/>
        <v>1796</v>
      </c>
      <c r="AB10" t="str">
        <f ca="1"/>
        <v>Coal Subcritical_MYPE</v>
      </c>
    </row>
    <row r="11" spans="1:28" hidden="1" x14ac:dyDescent="0.2">
      <c r="A11" t="str">
        <f ca="1"/>
        <v>Cambodia</v>
      </c>
      <c r="B11" t="str">
        <f ca="1"/>
        <v>Existing Capacity</v>
      </c>
      <c r="C11" t="str">
        <f ca="1"/>
        <v>MW</v>
      </c>
      <c r="D11" t="str">
        <f ca="1"/>
        <v>Transformation\Centralized Electricity Generation\Processes\Solar PV</v>
      </c>
      <c r="E11" s="17">
        <f ca="1"/>
        <v>0</v>
      </c>
      <c r="F11" s="17">
        <f ca="1"/>
        <v>0</v>
      </c>
      <c r="G11" s="17">
        <f ca="1"/>
        <v>0</v>
      </c>
      <c r="H11" s="17">
        <f ca="1"/>
        <v>0</v>
      </c>
      <c r="I11" s="17">
        <f ca="1"/>
        <v>0</v>
      </c>
      <c r="J11" s="17">
        <f ca="1"/>
        <v>0</v>
      </c>
      <c r="K11" s="17">
        <f ca="1"/>
        <v>0</v>
      </c>
      <c r="L11" s="17">
        <f ca="1"/>
        <v>0</v>
      </c>
      <c r="M11" s="17">
        <f ca="1"/>
        <v>0</v>
      </c>
      <c r="N11" s="17">
        <f ca="1"/>
        <v>0</v>
      </c>
      <c r="O11" s="17">
        <f ca="1"/>
        <v>0</v>
      </c>
      <c r="P11" s="17">
        <f ca="1"/>
        <v>0</v>
      </c>
      <c r="Q11" s="17">
        <f ca="1"/>
        <v>10</v>
      </c>
      <c r="R11" s="17">
        <f ca="1"/>
        <v>10</v>
      </c>
      <c r="S11" s="17">
        <f ca="1"/>
        <v>105</v>
      </c>
      <c r="T11" s="17">
        <f ca="1"/>
        <v>297</v>
      </c>
      <c r="U11" s="17">
        <f ca="1"/>
        <v>356.8</v>
      </c>
      <c r="V11" s="17">
        <f ca="1"/>
        <v>436.8</v>
      </c>
      <c r="W11" s="17">
        <f ca="1"/>
        <v>437</v>
      </c>
      <c r="X11" s="17">
        <f ca="1"/>
        <v>966</v>
      </c>
      <c r="AB11" t="str">
        <f ca="1"/>
        <v>Diesel_MYPE</v>
      </c>
    </row>
    <row r="12" spans="1:28" hidden="1" x14ac:dyDescent="0.2">
      <c r="A12" t="str">
        <f ca="1"/>
        <v>Cambodia</v>
      </c>
      <c r="B12" t="str">
        <f ca="1"/>
        <v>Existing Capacity</v>
      </c>
      <c r="C12" t="str">
        <f ca="1"/>
        <v>MW</v>
      </c>
      <c r="D12" t="str">
        <f ca="1"/>
        <v>Transformation\Centralized Electricity Generation\Processes\Biomass Other</v>
      </c>
      <c r="E12" s="17">
        <f ca="1"/>
        <v>0.10200000000000001</v>
      </c>
      <c r="F12" s="17">
        <f ca="1"/>
        <v>4.5120000000000005</v>
      </c>
      <c r="G12" s="17">
        <f ca="1"/>
        <v>4.6020000000000003</v>
      </c>
      <c r="H12" s="17">
        <f ca="1"/>
        <v>5.0920000000000005</v>
      </c>
      <c r="I12" s="17">
        <f ca="1"/>
        <v>5.7759999999999998</v>
      </c>
      <c r="J12" s="17">
        <f ca="1"/>
        <v>5.7759999999999998</v>
      </c>
      <c r="K12" s="17">
        <f ca="1"/>
        <v>6.5</v>
      </c>
      <c r="L12" s="17">
        <f ca="1"/>
        <v>22.5</v>
      </c>
      <c r="M12" s="17">
        <f ca="1"/>
        <v>22.5</v>
      </c>
      <c r="N12" s="17">
        <f ca="1"/>
        <v>22.64</v>
      </c>
      <c r="O12" s="17">
        <f ca="1"/>
        <v>16.57</v>
      </c>
      <c r="P12" s="17">
        <f ca="1"/>
        <v>51.27</v>
      </c>
      <c r="Q12" s="17">
        <f ca="1"/>
        <v>64.77</v>
      </c>
      <c r="R12" s="17">
        <f ca="1"/>
        <v>29</v>
      </c>
      <c r="S12" s="17">
        <f ca="1"/>
        <v>29</v>
      </c>
      <c r="T12" s="17">
        <f ca="1"/>
        <v>29</v>
      </c>
      <c r="U12" s="17">
        <f ca="1"/>
        <v>28.57</v>
      </c>
      <c r="V12" s="17">
        <f ca="1"/>
        <v>28.57</v>
      </c>
      <c r="W12" s="17">
        <f ca="1"/>
        <v>49</v>
      </c>
      <c r="X12" s="17">
        <f ca="1"/>
        <v>49</v>
      </c>
      <c r="AB12" t="str">
        <f ca="1"/>
        <v>Gas Combined Cycle_MYPE</v>
      </c>
    </row>
    <row r="13" spans="1:28" hidden="1" x14ac:dyDescent="0.2">
      <c r="A13" t="s">
        <v>19</v>
      </c>
      <c r="B13" t="s">
        <v>102</v>
      </c>
      <c r="C13" t="str">
        <f>IF(B13="Existing Capacity", "MW", "GWh")</f>
        <v>MW</v>
      </c>
      <c r="D13" t="str" cm="1">
        <f t="array" aca="1" ref="D13:X26" ca="1">_xlfn.LET(_xlpm.country,A13,
_xlpm.table,INDIRECT(IF(B13="Existing Capacity",_xlpm.country,_xlpm.country&amp;"_HP")),
_xlpm.val,_xlfn._xlws.FILTER(_xlfn.HSTACK(leap[Branch Path],leap[[2005]:[2024]]),(leap[Region]=A13)*(leap[Variable]=B13)),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13" s="17">
        <f ca="1"/>
        <v>9750</v>
      </c>
      <c r="F13" s="17">
        <f ca="1"/>
        <v>11170</v>
      </c>
      <c r="G13" s="17">
        <f ca="1"/>
        <v>12014</v>
      </c>
      <c r="H13" s="17">
        <f ca="1"/>
        <v>12294</v>
      </c>
      <c r="I13" s="17">
        <f ca="1"/>
        <v>12594</v>
      </c>
      <c r="J13" s="17">
        <f ca="1"/>
        <v>12981.5</v>
      </c>
      <c r="K13" s="17">
        <f ca="1"/>
        <v>16359</v>
      </c>
      <c r="L13" s="17">
        <f ca="1"/>
        <v>16805</v>
      </c>
      <c r="M13" s="17">
        <f ca="1"/>
        <v>20868.53</v>
      </c>
      <c r="N13" s="17">
        <f ca="1"/>
        <v>22160.23</v>
      </c>
      <c r="O13" s="17">
        <f ca="1"/>
        <v>24285.73</v>
      </c>
      <c r="P13" s="17">
        <f ca="1"/>
        <v>24388.23</v>
      </c>
      <c r="Q13" s="17">
        <f ca="1"/>
        <v>23396.2</v>
      </c>
      <c r="R13" s="17">
        <f ca="1"/>
        <v>28178.17</v>
      </c>
      <c r="S13" s="17">
        <f ca="1"/>
        <v>31328.17</v>
      </c>
      <c r="T13" s="17">
        <f ca="1"/>
        <v>33258.86</v>
      </c>
      <c r="U13" s="17">
        <f ca="1"/>
        <v>33627.360000000001</v>
      </c>
      <c r="V13" s="17">
        <f ca="1"/>
        <v>42605.26</v>
      </c>
      <c r="W13" s="17">
        <f ca="1"/>
        <v>46347.37</v>
      </c>
      <c r="X13" s="17">
        <f ca="1"/>
        <v>50929.84</v>
      </c>
      <c r="AB13" t="str">
        <f ca="1"/>
        <v>Large Hydro_MYPE</v>
      </c>
    </row>
    <row r="14" spans="1:28" hidden="1" x14ac:dyDescent="0.2">
      <c r="A14" t="str" cm="1">
        <f t="array" aca="1" ref="A14:A26" ca="1">_xlfn.TOCOL(IF(_xlfn.SEQUENCE(, ROWS(_xlfn.ANCHORARRAY(D13))-1)&lt;=ROWS(_xlfn.ANCHORARRAY(D13))-1,A13,NA()))</f>
        <v>Indonesia</v>
      </c>
      <c r="B14" t="str" cm="1">
        <f t="array" aca="1" ref="B14:B26" ca="1">_xlfn.TOCOL(IF(_xlfn.SEQUENCE(, ROWS(_xlfn.ANCHORARRAY(D13))-1)&lt;=ROWS(_xlfn.ANCHORARRAY(D13))-1,B13,NA()))</f>
        <v>Existing Capacity</v>
      </c>
      <c r="C14" t="str" cm="1">
        <f t="array" aca="1" ref="C14:C26" ca="1">_xlfn.TOCOL(IF(_xlfn.SEQUENCE(, ROWS(_xlfn.ANCHORARRAY(D13))-1)&lt;=ROWS(_xlfn.ANCHORARRAY(D13))-1,C13,NA()))</f>
        <v>MW</v>
      </c>
      <c r="D14" t="str">
        <f ca="1"/>
        <v>Transformation\Centralized Electricity Generation\Processes\Coal Supercritical</v>
      </c>
      <c r="E14" s="17">
        <f ca="1"/>
        <v>0</v>
      </c>
      <c r="F14" s="17">
        <f ca="1"/>
        <v>0</v>
      </c>
      <c r="G14" s="17">
        <f ca="1"/>
        <v>0</v>
      </c>
      <c r="H14" s="17">
        <f ca="1"/>
        <v>0</v>
      </c>
      <c r="I14" s="17">
        <f ca="1"/>
        <v>0</v>
      </c>
      <c r="J14" s="17">
        <f ca="1"/>
        <v>0</v>
      </c>
      <c r="K14" s="17">
        <f ca="1"/>
        <v>0</v>
      </c>
      <c r="L14" s="17">
        <f ca="1"/>
        <v>1475</v>
      </c>
      <c r="M14" s="17">
        <f ca="1"/>
        <v>1475</v>
      </c>
      <c r="N14" s="17">
        <f ca="1"/>
        <v>1475</v>
      </c>
      <c r="O14" s="17">
        <f ca="1"/>
        <v>1475</v>
      </c>
      <c r="P14" s="17">
        <f ca="1"/>
        <v>2749</v>
      </c>
      <c r="Q14" s="17">
        <f ca="1"/>
        <v>3409</v>
      </c>
      <c r="R14" s="17">
        <f ca="1"/>
        <v>3409</v>
      </c>
      <c r="S14" s="17">
        <f ca="1"/>
        <v>3409</v>
      </c>
      <c r="T14" s="17">
        <f ca="1"/>
        <v>3409</v>
      </c>
      <c r="U14" s="17">
        <f ca="1"/>
        <v>3409</v>
      </c>
      <c r="V14" s="17">
        <f ca="1"/>
        <v>3409</v>
      </c>
      <c r="W14" s="17">
        <f ca="1"/>
        <v>3409</v>
      </c>
      <c r="X14" s="17">
        <f ca="1"/>
        <v>3409</v>
      </c>
      <c r="AB14" t="str">
        <f ca="1"/>
        <v>Solar PV_MYPE</v>
      </c>
    </row>
    <row r="15" spans="1:28" hidden="1" x14ac:dyDescent="0.2">
      <c r="A15" t="str">
        <f ca="1"/>
        <v>Indonesia</v>
      </c>
      <c r="B15" t="str">
        <f ca="1"/>
        <v>Existing Capacity</v>
      </c>
      <c r="C15" t="str">
        <f ca="1"/>
        <v>MW</v>
      </c>
      <c r="D15" t="str">
        <f ca="1"/>
        <v>Transformation\Centralized Electricity Generation\Processes\Diesel</v>
      </c>
      <c r="E15" s="17">
        <f ca="1"/>
        <v>3208.08</v>
      </c>
      <c r="F15" s="17">
        <f ca="1"/>
        <v>3165.05</v>
      </c>
      <c r="G15" s="17">
        <f ca="1"/>
        <v>3211.91</v>
      </c>
      <c r="H15" s="17">
        <f ca="1"/>
        <v>3272.98</v>
      </c>
      <c r="I15" s="17">
        <f ca="1"/>
        <v>3256.36</v>
      </c>
      <c r="J15" s="17">
        <f ca="1"/>
        <v>4569.8900000000003</v>
      </c>
      <c r="K15" s="17">
        <f ca="1"/>
        <v>5471.93</v>
      </c>
      <c r="L15" s="17">
        <f ca="1"/>
        <v>5973.58</v>
      </c>
      <c r="M15" s="17">
        <f ca="1"/>
        <v>5935</v>
      </c>
      <c r="N15" s="17">
        <f ca="1"/>
        <v>6206.99</v>
      </c>
      <c r="O15" s="17">
        <f ca="1"/>
        <v>6274.79</v>
      </c>
      <c r="P15" s="17">
        <f ca="1"/>
        <v>6274.79</v>
      </c>
      <c r="Q15" s="17">
        <f ca="1"/>
        <v>6278.79</v>
      </c>
      <c r="R15" s="17">
        <f ca="1"/>
        <v>4630.8999999999996</v>
      </c>
      <c r="S15" s="17">
        <f ca="1"/>
        <v>4779.68</v>
      </c>
      <c r="T15" s="17">
        <f ca="1"/>
        <v>4863.53</v>
      </c>
      <c r="U15" s="17">
        <f ca="1"/>
        <v>4986.58</v>
      </c>
      <c r="V15" s="17">
        <f ca="1"/>
        <v>4352.09</v>
      </c>
      <c r="W15" s="17">
        <f ca="1"/>
        <v>4638.3100000000004</v>
      </c>
      <c r="X15" s="17">
        <f ca="1"/>
        <v>5819.28</v>
      </c>
      <c r="AB15" t="str">
        <f ca="1"/>
        <v>Biomass Other_MYPE</v>
      </c>
    </row>
    <row r="16" spans="1:28" hidden="1" x14ac:dyDescent="0.2">
      <c r="A16" t="str">
        <f ca="1"/>
        <v>Indonesia</v>
      </c>
      <c r="B16" t="str">
        <f ca="1"/>
        <v>Existing Capacity</v>
      </c>
      <c r="C16" t="str">
        <f ca="1"/>
        <v>MW</v>
      </c>
      <c r="D16" t="str">
        <f ca="1"/>
        <v>Transformation\Centralized Electricity Generation\Processes\Gas Turbine</v>
      </c>
      <c r="E16" s="17">
        <f ca="1"/>
        <v>3099.35</v>
      </c>
      <c r="F16" s="17">
        <f ca="1"/>
        <v>3102.9500000000003</v>
      </c>
      <c r="G16" s="17">
        <f ca="1"/>
        <v>3220.1759999999999</v>
      </c>
      <c r="H16" s="17">
        <f ca="1"/>
        <v>3068.973</v>
      </c>
      <c r="I16" s="17">
        <f ca="1"/>
        <v>3135.877</v>
      </c>
      <c r="J16" s="17">
        <f ca="1"/>
        <v>3821.567</v>
      </c>
      <c r="K16" s="17">
        <f ca="1"/>
        <v>4236.0209999999997</v>
      </c>
      <c r="L16" s="17">
        <f ca="1"/>
        <v>4343.8209999999999</v>
      </c>
      <c r="M16" s="17">
        <f ca="1"/>
        <v>4389.0860000000002</v>
      </c>
      <c r="N16" s="17">
        <f ca="1"/>
        <v>4310.4980000000005</v>
      </c>
      <c r="O16" s="17">
        <f ca="1"/>
        <v>4310.4980000000005</v>
      </c>
      <c r="P16" s="17">
        <f ca="1"/>
        <v>4420.5</v>
      </c>
      <c r="Q16" s="17">
        <f ca="1"/>
        <v>4420.4980000000005</v>
      </c>
      <c r="R16" s="17">
        <f ca="1"/>
        <v>5348.44</v>
      </c>
      <c r="S16" s="17">
        <f ca="1"/>
        <v>5348.44</v>
      </c>
      <c r="T16" s="17">
        <f ca="1"/>
        <v>5348.44</v>
      </c>
      <c r="U16" s="17">
        <f ca="1"/>
        <v>5348.44</v>
      </c>
      <c r="V16" s="17">
        <f ca="1"/>
        <v>4456.74</v>
      </c>
      <c r="W16" s="17">
        <f ca="1"/>
        <v>4453.2700000000004</v>
      </c>
      <c r="X16" s="17">
        <f ca="1"/>
        <v>4477.66</v>
      </c>
      <c r="AB16" t="str">
        <f ca="1"/>
        <v>Diesel_MYSB</v>
      </c>
    </row>
    <row r="17" spans="1:28" hidden="1" x14ac:dyDescent="0.2">
      <c r="A17" t="str">
        <f ca="1"/>
        <v>Indonesia</v>
      </c>
      <c r="B17" t="str">
        <f ca="1"/>
        <v>Existing Capacity</v>
      </c>
      <c r="C17" t="str">
        <f ca="1"/>
        <v>MW</v>
      </c>
      <c r="D17" t="str">
        <f ca="1"/>
        <v>Transformation\Centralized Electricity Generation\Processes\Gas Engine</v>
      </c>
      <c r="E17" s="17">
        <f ca="1"/>
        <v>3</v>
      </c>
      <c r="F17" s="17">
        <f ca="1"/>
        <v>21</v>
      </c>
      <c r="G17" s="17">
        <f ca="1"/>
        <v>33</v>
      </c>
      <c r="H17" s="17">
        <f ca="1"/>
        <v>66.84</v>
      </c>
      <c r="I17" s="17">
        <f ca="1"/>
        <v>71</v>
      </c>
      <c r="J17" s="17">
        <f ca="1"/>
        <v>92.84</v>
      </c>
      <c r="K17" s="17">
        <f ca="1"/>
        <v>169.54</v>
      </c>
      <c r="L17" s="17">
        <f ca="1"/>
        <v>198.74</v>
      </c>
      <c r="M17" s="17">
        <f ca="1"/>
        <v>448.12</v>
      </c>
      <c r="N17" s="17">
        <f ca="1"/>
        <v>610.74099999999999</v>
      </c>
      <c r="O17" s="17">
        <f ca="1"/>
        <v>818.74099999999999</v>
      </c>
      <c r="P17" s="17">
        <f ca="1"/>
        <v>1852.74</v>
      </c>
      <c r="Q17" s="17">
        <f ca="1"/>
        <v>2406.971</v>
      </c>
      <c r="R17" s="17">
        <f ca="1"/>
        <v>2357.66</v>
      </c>
      <c r="S17" s="17">
        <f ca="1"/>
        <v>2842.03</v>
      </c>
      <c r="T17" s="17">
        <f ca="1"/>
        <v>3177.93</v>
      </c>
      <c r="U17" s="17">
        <f ca="1"/>
        <v>3218.87</v>
      </c>
      <c r="V17" s="17">
        <f ca="1"/>
        <v>2976.47</v>
      </c>
      <c r="W17" s="17">
        <f ca="1"/>
        <v>2689.32</v>
      </c>
      <c r="X17" s="17">
        <f ca="1"/>
        <v>2889.82</v>
      </c>
      <c r="AB17" t="str">
        <f ca="1"/>
        <v>Gas Combined Cycle_MYSB</v>
      </c>
    </row>
    <row r="18" spans="1:28" hidden="1" x14ac:dyDescent="0.2">
      <c r="A18" t="str">
        <f ca="1"/>
        <v>Indonesia</v>
      </c>
      <c r="B18" t="str">
        <f ca="1"/>
        <v>Existing Capacity</v>
      </c>
      <c r="C18" t="str">
        <f ca="1"/>
        <v>MW</v>
      </c>
      <c r="D18" t="str">
        <f ca="1"/>
        <v>Transformation\Centralized Electricity Generation\Processes\Gas Combined Cycle</v>
      </c>
      <c r="E18" s="17">
        <f ca="1"/>
        <v>6919.97</v>
      </c>
      <c r="F18" s="17">
        <f ca="1"/>
        <v>7659.97</v>
      </c>
      <c r="G18" s="17">
        <f ca="1"/>
        <v>7699.97</v>
      </c>
      <c r="H18" s="17">
        <f ca="1"/>
        <v>8009.97</v>
      </c>
      <c r="I18" s="17">
        <f ca="1"/>
        <v>8009.97</v>
      </c>
      <c r="J18" s="17">
        <f ca="1"/>
        <v>7590.32</v>
      </c>
      <c r="K18" s="17">
        <f ca="1"/>
        <v>8480.9699999999993</v>
      </c>
      <c r="L18" s="17">
        <f ca="1"/>
        <v>9461.11</v>
      </c>
      <c r="M18" s="17">
        <f ca="1"/>
        <v>9852.2100000000009</v>
      </c>
      <c r="N18" s="17">
        <f ca="1"/>
        <v>10146.11</v>
      </c>
      <c r="O18" s="17">
        <f ca="1"/>
        <v>10146.11</v>
      </c>
      <c r="P18" s="17">
        <f ca="1"/>
        <v>10146.11</v>
      </c>
      <c r="Q18" s="17">
        <f ca="1"/>
        <v>10146.11</v>
      </c>
      <c r="R18" s="17">
        <f ca="1"/>
        <v>11220.1</v>
      </c>
      <c r="S18" s="17">
        <f ca="1"/>
        <v>11669.54</v>
      </c>
      <c r="T18" s="17">
        <f ca="1"/>
        <v>12235.71</v>
      </c>
      <c r="U18" s="17">
        <f ca="1"/>
        <v>12411.51</v>
      </c>
      <c r="V18" s="17">
        <f ca="1"/>
        <v>13397.82</v>
      </c>
      <c r="W18" s="17">
        <f ca="1"/>
        <v>16065.76</v>
      </c>
      <c r="X18" s="17">
        <f ca="1"/>
        <v>18798.41</v>
      </c>
      <c r="AB18" t="str">
        <f ca="1"/>
        <v>Large Hydro_MYSB</v>
      </c>
    </row>
    <row r="19" spans="1:28" hidden="1" x14ac:dyDescent="0.2">
      <c r="A19" t="str">
        <f ca="1"/>
        <v>Indonesia</v>
      </c>
      <c r="B19" t="str">
        <f ca="1"/>
        <v>Existing Capacity</v>
      </c>
      <c r="C19" t="str">
        <f ca="1"/>
        <v>MW</v>
      </c>
      <c r="D19" t="str">
        <f ca="1"/>
        <v>Transformation\Centralized Electricity Generation\Processes\Large Hydro</v>
      </c>
      <c r="E19" s="17">
        <f ca="1"/>
        <v>3410.94</v>
      </c>
      <c r="F19" s="17">
        <f ca="1"/>
        <v>3719.19</v>
      </c>
      <c r="G19" s="17">
        <f ca="1"/>
        <v>3694.62</v>
      </c>
      <c r="H19" s="17">
        <f ca="1"/>
        <v>3697.52</v>
      </c>
      <c r="I19" s="17">
        <f ca="1"/>
        <v>3701.67</v>
      </c>
      <c r="J19" s="17">
        <f ca="1"/>
        <v>3733.91</v>
      </c>
      <c r="K19" s="17">
        <f ca="1"/>
        <v>3944.42</v>
      </c>
      <c r="L19" s="17">
        <f ca="1"/>
        <v>4146.41</v>
      </c>
      <c r="M19" s="17">
        <f ca="1"/>
        <v>5165.6099999999997</v>
      </c>
      <c r="N19" s="17">
        <f ca="1"/>
        <v>5229.3900000000003</v>
      </c>
      <c r="O19" s="17">
        <f ca="1"/>
        <v>5260.6900000000005</v>
      </c>
      <c r="P19" s="17">
        <f ca="1"/>
        <v>5382.39</v>
      </c>
      <c r="Q19" s="17">
        <f ca="1"/>
        <v>5450.14</v>
      </c>
      <c r="R19" s="17">
        <f ca="1"/>
        <v>5399.59</v>
      </c>
      <c r="S19" s="17">
        <f ca="1"/>
        <v>5558.52</v>
      </c>
      <c r="T19" s="17">
        <f ca="1"/>
        <v>5638.67</v>
      </c>
      <c r="U19" s="17">
        <f ca="1"/>
        <v>5988.67</v>
      </c>
      <c r="V19" s="17">
        <f ca="1"/>
        <v>5988.67</v>
      </c>
      <c r="W19" s="17">
        <f ca="1"/>
        <v>5610.07</v>
      </c>
      <c r="X19" s="17">
        <f ca="1"/>
        <v>6047.16</v>
      </c>
      <c r="AB19" t="str">
        <f ca="1"/>
        <v>Solar PV_MYSB</v>
      </c>
    </row>
    <row r="20" spans="1:28" hidden="1" x14ac:dyDescent="0.2">
      <c r="A20" t="str">
        <f ca="1"/>
        <v>Indonesia</v>
      </c>
      <c r="B20" t="str">
        <f ca="1"/>
        <v>Existing Capacity</v>
      </c>
      <c r="C20" t="str">
        <f ca="1"/>
        <v>MW</v>
      </c>
      <c r="D20" t="str">
        <f ca="1"/>
        <v>Transformation\Centralized Electricity Generation\Processes\Small Hydro</v>
      </c>
      <c r="E20" s="17">
        <f ca="1"/>
        <v>0</v>
      </c>
      <c r="F20" s="17">
        <f ca="1"/>
        <v>0</v>
      </c>
      <c r="G20" s="17">
        <f ca="1"/>
        <v>0</v>
      </c>
      <c r="H20" s="17">
        <f ca="1"/>
        <v>0</v>
      </c>
      <c r="I20" s="17">
        <f ca="1"/>
        <v>0</v>
      </c>
      <c r="J20" s="17">
        <f ca="1"/>
        <v>0</v>
      </c>
      <c r="K20" s="17">
        <f ca="1"/>
        <v>0</v>
      </c>
      <c r="L20" s="17">
        <f ca="1"/>
        <v>0</v>
      </c>
      <c r="M20" s="17">
        <f ca="1"/>
        <v>0</v>
      </c>
      <c r="N20" s="17">
        <f ca="1"/>
        <v>0</v>
      </c>
      <c r="O20" s="17">
        <f ca="1"/>
        <v>0</v>
      </c>
      <c r="P20" s="17">
        <f ca="1"/>
        <v>0</v>
      </c>
      <c r="Q20" s="17">
        <f ca="1"/>
        <v>0</v>
      </c>
      <c r="R20" s="17">
        <f ca="1"/>
        <v>372.56</v>
      </c>
      <c r="S20" s="17">
        <f ca="1"/>
        <v>417.51</v>
      </c>
      <c r="T20" s="17">
        <f ca="1"/>
        <v>482.21</v>
      </c>
      <c r="U20" s="17">
        <f ca="1"/>
        <v>613.07999999999993</v>
      </c>
      <c r="V20" s="17">
        <f ca="1"/>
        <v>700.34999999999991</v>
      </c>
      <c r="W20" s="17">
        <f ca="1"/>
        <v>959.57</v>
      </c>
      <c r="X20" s="17">
        <f ca="1"/>
        <v>1005.3100000000001</v>
      </c>
      <c r="AB20" t="str">
        <f ca="1"/>
        <v>Biomass Other_MYSB</v>
      </c>
    </row>
    <row r="21" spans="1:28" hidden="1" x14ac:dyDescent="0.2">
      <c r="A21" t="str">
        <f ca="1"/>
        <v>Indonesia</v>
      </c>
      <c r="B21" t="str">
        <f ca="1"/>
        <v>Existing Capacity</v>
      </c>
      <c r="C21" t="str">
        <f ca="1"/>
        <v>MW</v>
      </c>
      <c r="D21" t="str">
        <f ca="1"/>
        <v>Transformation\Centralized Electricity Generation\Processes\Geothermal Flash</v>
      </c>
      <c r="E21" s="17">
        <f ca="1"/>
        <v>850</v>
      </c>
      <c r="F21" s="17">
        <f ca="1"/>
        <v>850</v>
      </c>
      <c r="G21" s="17">
        <f ca="1"/>
        <v>980</v>
      </c>
      <c r="H21" s="17">
        <f ca="1"/>
        <v>1052</v>
      </c>
      <c r="I21" s="17">
        <f ca="1"/>
        <v>1189</v>
      </c>
      <c r="J21" s="17">
        <f ca="1"/>
        <v>1189</v>
      </c>
      <c r="K21" s="17">
        <f ca="1"/>
        <v>1226</v>
      </c>
      <c r="L21" s="17">
        <f ca="1"/>
        <v>1336</v>
      </c>
      <c r="M21" s="17">
        <f ca="1"/>
        <v>1343.5</v>
      </c>
      <c r="N21" s="17">
        <f ca="1"/>
        <v>1403.5</v>
      </c>
      <c r="O21" s="17">
        <f ca="1"/>
        <v>1438.5</v>
      </c>
      <c r="P21" s="17">
        <f ca="1"/>
        <v>1643.5</v>
      </c>
      <c r="Q21" s="17">
        <f ca="1"/>
        <v>1808.3</v>
      </c>
      <c r="R21" s="17">
        <f ca="1"/>
        <v>1948.3</v>
      </c>
      <c r="S21" s="17">
        <f ca="1"/>
        <v>2130.6999999999998</v>
      </c>
      <c r="T21" s="17">
        <f ca="1"/>
        <v>2130.6999999999998</v>
      </c>
      <c r="U21" s="17">
        <f ca="1"/>
        <v>2286.0500000000002</v>
      </c>
      <c r="V21" s="17">
        <f ca="1"/>
        <v>2360.33</v>
      </c>
      <c r="W21" s="17">
        <f ca="1"/>
        <v>2597.5100000000002</v>
      </c>
      <c r="X21" s="17">
        <f ca="1"/>
        <v>2638.76</v>
      </c>
      <c r="AB21" t="str">
        <f ca="1"/>
        <v>Coal Subcritical_MYSR</v>
      </c>
    </row>
    <row r="22" spans="1:28" hidden="1" x14ac:dyDescent="0.2">
      <c r="A22" t="str">
        <f ca="1"/>
        <v>Indonesia</v>
      </c>
      <c r="B22" t="str">
        <f ca="1"/>
        <v>Existing Capacity</v>
      </c>
      <c r="C22" t="str">
        <f ca="1"/>
        <v>MW</v>
      </c>
      <c r="D22" t="str">
        <f ca="1"/>
        <v>Transformation\Centralized Electricity Generation\Processes\Solar PV</v>
      </c>
      <c r="E22" s="17">
        <f ca="1"/>
        <v>0</v>
      </c>
      <c r="F22" s="17">
        <f ca="1"/>
        <v>0</v>
      </c>
      <c r="G22" s="17">
        <f ca="1"/>
        <v>0</v>
      </c>
      <c r="H22" s="17">
        <f ca="1"/>
        <v>0</v>
      </c>
      <c r="I22" s="17">
        <f ca="1"/>
        <v>0</v>
      </c>
      <c r="J22" s="17">
        <f ca="1"/>
        <v>0.19</v>
      </c>
      <c r="K22" s="17">
        <f ca="1"/>
        <v>1.2</v>
      </c>
      <c r="L22" s="17">
        <f ca="1"/>
        <v>4.0999999999999996</v>
      </c>
      <c r="M22" s="17">
        <f ca="1"/>
        <v>9</v>
      </c>
      <c r="N22" s="17">
        <f ca="1"/>
        <v>9</v>
      </c>
      <c r="O22" s="17">
        <f ca="1"/>
        <v>36.9</v>
      </c>
      <c r="P22" s="17">
        <f ca="1"/>
        <v>46.7</v>
      </c>
      <c r="Q22" s="17">
        <f ca="1"/>
        <v>54.5</v>
      </c>
      <c r="R22" s="17">
        <f ca="1"/>
        <v>60.190000000000005</v>
      </c>
      <c r="S22" s="17">
        <f ca="1"/>
        <v>145.81</v>
      </c>
      <c r="T22" s="17">
        <f ca="1"/>
        <v>147.29000000000002</v>
      </c>
      <c r="U22" s="17">
        <f ca="1"/>
        <v>201.08999999999997</v>
      </c>
      <c r="V22" s="17">
        <f ca="1"/>
        <v>283.14</v>
      </c>
      <c r="W22" s="17">
        <f ca="1"/>
        <v>599.97</v>
      </c>
      <c r="X22" s="17">
        <f ca="1"/>
        <v>909.43</v>
      </c>
      <c r="AB22" t="str">
        <f ca="1"/>
        <v>Diesel_MYSR</v>
      </c>
    </row>
    <row r="23" spans="1:28" hidden="1" x14ac:dyDescent="0.2">
      <c r="A23" t="str">
        <f ca="1"/>
        <v>Indonesia</v>
      </c>
      <c r="B23" t="str">
        <f ca="1"/>
        <v>Existing Capacity</v>
      </c>
      <c r="C23" t="str">
        <f ca="1"/>
        <v>MW</v>
      </c>
      <c r="D23" t="str">
        <f ca="1"/>
        <v>Transformation\Centralized Electricity Generation\Processes\Wind Onshore</v>
      </c>
      <c r="E23" s="17">
        <f ca="1"/>
        <v>0</v>
      </c>
      <c r="F23" s="17">
        <f ca="1"/>
        <v>0</v>
      </c>
      <c r="G23" s="17">
        <f ca="1"/>
        <v>0.1</v>
      </c>
      <c r="H23" s="17">
        <f ca="1"/>
        <v>0.26</v>
      </c>
      <c r="I23" s="17">
        <f ca="1"/>
        <v>1.06</v>
      </c>
      <c r="J23" s="17">
        <f ca="1"/>
        <v>0.34</v>
      </c>
      <c r="K23" s="17">
        <f ca="1"/>
        <v>0.93</v>
      </c>
      <c r="L23" s="17">
        <f ca="1"/>
        <v>0.93</v>
      </c>
      <c r="M23" s="17">
        <f ca="1"/>
        <v>0.63</v>
      </c>
      <c r="N23" s="17">
        <f ca="1"/>
        <v>1.1200000000000001</v>
      </c>
      <c r="O23" s="17">
        <f ca="1"/>
        <v>1.1200000000000001</v>
      </c>
      <c r="P23" s="17">
        <f ca="1"/>
        <v>1.1200000000000001</v>
      </c>
      <c r="Q23" s="17">
        <f ca="1"/>
        <v>1.1200000000000001</v>
      </c>
      <c r="R23" s="17">
        <f ca="1"/>
        <v>143.51</v>
      </c>
      <c r="S23" s="17">
        <f ca="1"/>
        <v>154.31</v>
      </c>
      <c r="T23" s="17">
        <f ca="1"/>
        <v>154.31</v>
      </c>
      <c r="U23" s="17">
        <f ca="1"/>
        <v>154.31</v>
      </c>
      <c r="V23" s="17">
        <f ca="1"/>
        <v>154.31</v>
      </c>
      <c r="W23" s="17">
        <f ca="1"/>
        <v>152.29999999999998</v>
      </c>
      <c r="X23" s="17">
        <f ca="1"/>
        <v>152.29999999999998</v>
      </c>
      <c r="AB23" t="str">
        <f ca="1"/>
        <v>Gas Combined Cycle_MYSR</v>
      </c>
    </row>
    <row r="24" spans="1:28" hidden="1" x14ac:dyDescent="0.2">
      <c r="A24" t="str">
        <f ca="1"/>
        <v>Indonesia</v>
      </c>
      <c r="B24" t="str">
        <f ca="1"/>
        <v>Existing Capacity</v>
      </c>
      <c r="C24" t="str">
        <f ca="1"/>
        <v>MW</v>
      </c>
      <c r="D24" t="str">
        <f ca="1"/>
        <v>Transformation\Centralized Electricity Generation\Processes\Biomass Other</v>
      </c>
      <c r="E24" s="17">
        <f ca="1"/>
        <v>0</v>
      </c>
      <c r="F24" s="17">
        <f ca="1"/>
        <v>0</v>
      </c>
      <c r="G24" s="17">
        <f ca="1"/>
        <v>0</v>
      </c>
      <c r="H24" s="17">
        <f ca="1"/>
        <v>0</v>
      </c>
      <c r="I24" s="17">
        <f ca="1"/>
        <v>0</v>
      </c>
      <c r="J24" s="17">
        <f ca="1"/>
        <v>0</v>
      </c>
      <c r="K24" s="17">
        <f ca="1"/>
        <v>0</v>
      </c>
      <c r="L24" s="17">
        <f ca="1"/>
        <v>0</v>
      </c>
      <c r="M24" s="17">
        <f ca="1"/>
        <v>0</v>
      </c>
      <c r="N24" s="17">
        <f ca="1"/>
        <v>0</v>
      </c>
      <c r="O24" s="17">
        <f ca="1"/>
        <v>0</v>
      </c>
      <c r="P24" s="17">
        <f ca="1"/>
        <v>0</v>
      </c>
      <c r="Q24" s="17">
        <f ca="1"/>
        <v>0.9</v>
      </c>
      <c r="R24" s="17">
        <f ca="1"/>
        <v>1762.12</v>
      </c>
      <c r="S24" s="17">
        <f ca="1"/>
        <v>1767.12</v>
      </c>
      <c r="T24" s="17">
        <f ca="1"/>
        <v>1770.62</v>
      </c>
      <c r="U24" s="17">
        <f ca="1"/>
        <v>2124.7400000000002</v>
      </c>
      <c r="V24" s="17">
        <f ca="1"/>
        <v>2925.05</v>
      </c>
      <c r="W24" s="17">
        <f ca="1"/>
        <v>3201.01</v>
      </c>
      <c r="X24" s="17">
        <f ca="1"/>
        <v>2906.36</v>
      </c>
      <c r="AB24" t="str">
        <f ca="1"/>
        <v>Large Hydro_MYSR</v>
      </c>
    </row>
    <row r="25" spans="1:28" hidden="1" x14ac:dyDescent="0.2">
      <c r="A25" t="str">
        <f ca="1"/>
        <v>Indonesia</v>
      </c>
      <c r="B25" t="str">
        <f ca="1"/>
        <v>Existing Capacity</v>
      </c>
      <c r="C25" t="str">
        <f ca="1"/>
        <v>MW</v>
      </c>
      <c r="D25" t="str">
        <f ca="1"/>
        <v>Transformation\Centralized Electricity Generation\Processes\Biogas</v>
      </c>
      <c r="E25" s="17">
        <f ca="1"/>
        <v>0</v>
      </c>
      <c r="F25" s="17">
        <f ca="1"/>
        <v>0</v>
      </c>
      <c r="G25" s="17">
        <f ca="1"/>
        <v>0</v>
      </c>
      <c r="H25" s="17">
        <f ca="1"/>
        <v>0</v>
      </c>
      <c r="I25" s="17">
        <f ca="1"/>
        <v>0</v>
      </c>
      <c r="J25" s="17">
        <f ca="1"/>
        <v>0</v>
      </c>
      <c r="K25" s="17">
        <f ca="1"/>
        <v>0</v>
      </c>
      <c r="L25" s="17">
        <f ca="1"/>
        <v>0</v>
      </c>
      <c r="M25" s="17">
        <f ca="1"/>
        <v>0</v>
      </c>
      <c r="N25" s="17">
        <f ca="1"/>
        <v>0</v>
      </c>
      <c r="O25" s="17">
        <f ca="1"/>
        <v>0</v>
      </c>
      <c r="P25" s="17">
        <f ca="1"/>
        <v>0</v>
      </c>
      <c r="Q25" s="17">
        <f ca="1"/>
        <v>12.8</v>
      </c>
      <c r="R25" s="17">
        <f ca="1"/>
        <v>108.61000000000001</v>
      </c>
      <c r="S25" s="17">
        <f ca="1"/>
        <v>112.41</v>
      </c>
      <c r="T25" s="17">
        <f ca="1"/>
        <v>117.82</v>
      </c>
      <c r="U25" s="17">
        <f ca="1"/>
        <v>134.79</v>
      </c>
      <c r="V25" s="17">
        <f ca="1"/>
        <v>149.41</v>
      </c>
      <c r="W25" s="17">
        <f ca="1"/>
        <v>155.93</v>
      </c>
      <c r="X25" s="17">
        <f ca="1"/>
        <v>157.25</v>
      </c>
      <c r="AB25" t="str">
        <f ca="1"/>
        <v>Biomass Other_MYSR</v>
      </c>
    </row>
    <row r="26" spans="1:28" hidden="1" x14ac:dyDescent="0.2">
      <c r="A26" t="str">
        <f ca="1"/>
        <v>Indonesia</v>
      </c>
      <c r="B26" t="str">
        <f ca="1"/>
        <v>Existing Capacity</v>
      </c>
      <c r="C26" t="str">
        <f ca="1"/>
        <v>MW</v>
      </c>
      <c r="D26" t="str">
        <f ca="1"/>
        <v>Transformation\Centralized Electricity Generation\Processes\Waste</v>
      </c>
      <c r="E26" s="17">
        <f ca="1"/>
        <v>0</v>
      </c>
      <c r="F26" s="17">
        <f ca="1"/>
        <v>0</v>
      </c>
      <c r="G26" s="17">
        <f ca="1"/>
        <v>0</v>
      </c>
      <c r="H26" s="17">
        <f ca="1"/>
        <v>0</v>
      </c>
      <c r="I26" s="17">
        <f ca="1"/>
        <v>0</v>
      </c>
      <c r="J26" s="17">
        <f ca="1"/>
        <v>0</v>
      </c>
      <c r="K26" s="17">
        <f ca="1"/>
        <v>26</v>
      </c>
      <c r="L26" s="17">
        <f ca="1"/>
        <v>26</v>
      </c>
      <c r="M26" s="17">
        <f ca="1"/>
        <v>26</v>
      </c>
      <c r="N26" s="17">
        <f ca="1"/>
        <v>36</v>
      </c>
      <c r="O26" s="17">
        <f ca="1"/>
        <v>15.65</v>
      </c>
      <c r="P26" s="17">
        <f ca="1"/>
        <v>15.65</v>
      </c>
      <c r="Q26" s="17">
        <f ca="1"/>
        <v>15.65</v>
      </c>
      <c r="R26" s="17">
        <f ca="1"/>
        <v>15.65</v>
      </c>
      <c r="S26" s="17">
        <f ca="1"/>
        <v>15.65</v>
      </c>
      <c r="T26" s="17">
        <f ca="1"/>
        <v>15.65</v>
      </c>
      <c r="U26" s="17">
        <f ca="1"/>
        <v>28.45</v>
      </c>
      <c r="V26" s="17">
        <f ca="1"/>
        <v>24.45</v>
      </c>
      <c r="W26" s="17">
        <f ca="1"/>
        <v>36.47</v>
      </c>
      <c r="X26" s="17">
        <f ca="1"/>
        <v>36.47</v>
      </c>
    </row>
    <row r="27" spans="1:28" hidden="1" x14ac:dyDescent="0.2">
      <c r="A27" t="s">
        <v>20</v>
      </c>
      <c r="B27" t="s">
        <v>102</v>
      </c>
      <c r="C27" t="str">
        <f>IF(B27="Existing Capacity", "MW", "GWh")</f>
        <v>MW</v>
      </c>
      <c r="D27" t="str" cm="1">
        <f t="array" aca="1" ref="D27:X31" ca="1">_xlfn.LET(_xlpm.country,A27,
_xlpm.table,INDIRECT(IF(B27="Existing Capacity",_xlpm.country,_xlpm.country&amp;"_HP")),
_xlpm.val,_xlfn._xlws.FILTER(_xlfn.HSTACK(leap[Branch Path],leap[[2005]:[2024]]),(leap[Region]=A27)*(leap[Variable]=B27)),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27" s="17">
        <f ca="1"/>
        <v>0</v>
      </c>
      <c r="F27" s="17">
        <f ca="1"/>
        <v>0</v>
      </c>
      <c r="G27" s="17">
        <f ca="1"/>
        <v>0</v>
      </c>
      <c r="H27" s="17">
        <f ca="1"/>
        <v>0</v>
      </c>
      <c r="I27" s="17">
        <f ca="1"/>
        <v>0</v>
      </c>
      <c r="J27" s="17">
        <f ca="1"/>
        <v>0</v>
      </c>
      <c r="K27" s="17">
        <f ca="1"/>
        <v>0</v>
      </c>
      <c r="L27" s="17">
        <f ca="1"/>
        <v>0</v>
      </c>
      <c r="M27" s="17">
        <f ca="1"/>
        <v>0</v>
      </c>
      <c r="N27" s="17">
        <f ca="1"/>
        <v>0</v>
      </c>
      <c r="O27" s="17">
        <f ca="1"/>
        <v>1878</v>
      </c>
      <c r="P27" s="17">
        <f ca="1"/>
        <v>1878</v>
      </c>
      <c r="Q27" s="17">
        <f ca="1"/>
        <v>1878</v>
      </c>
      <c r="R27" s="17">
        <f ca="1"/>
        <v>1878</v>
      </c>
      <c r="S27" s="17">
        <f ca="1"/>
        <v>1878</v>
      </c>
      <c r="T27" s="17">
        <f ca="1"/>
        <v>1878</v>
      </c>
      <c r="U27" s="17">
        <f ca="1"/>
        <v>1878</v>
      </c>
      <c r="V27" s="17">
        <f ca="1"/>
        <v>1878</v>
      </c>
      <c r="W27" s="17">
        <f ca="1"/>
        <v>1878</v>
      </c>
      <c r="X27" s="17">
        <f ca="1"/>
        <v>1878</v>
      </c>
    </row>
    <row r="28" spans="1:28" hidden="1" x14ac:dyDescent="0.2">
      <c r="A28" t="str" cm="1">
        <f t="array" aca="1" ref="A28:A31" ca="1">_xlfn.TOCOL(IF(_xlfn.SEQUENCE(, ROWS(_xlfn.ANCHORARRAY(D27))-1)&lt;=ROWS(_xlfn.ANCHORARRAY(D27))-1,A27,NA()))</f>
        <v>Laos</v>
      </c>
      <c r="B28" t="str" cm="1">
        <f t="array" aca="1" ref="B28:B31" ca="1">_xlfn.TOCOL(IF(_xlfn.SEQUENCE(, ROWS(_xlfn.ANCHORARRAY(D27))-1)&lt;=ROWS(_xlfn.ANCHORARRAY(D27))-1,B27,NA()))</f>
        <v>Existing Capacity</v>
      </c>
      <c r="C28" t="str" cm="1">
        <f t="array" aca="1" ref="C28:C31" ca="1">_xlfn.TOCOL(IF(_xlfn.SEQUENCE(, ROWS(_xlfn.ANCHORARRAY(D27))-1)&lt;=ROWS(_xlfn.ANCHORARRAY(D27))-1,C27,NA()))</f>
        <v>MW</v>
      </c>
      <c r="D28" t="str">
        <f ca="1"/>
        <v>Transformation\Centralized Electricity Generation\Processes\Large Hydro</v>
      </c>
      <c r="E28" s="17">
        <f ca="1"/>
        <v>639.5</v>
      </c>
      <c r="F28" s="17">
        <f ca="1"/>
        <v>639.5</v>
      </c>
      <c r="G28" s="17">
        <f ca="1"/>
        <v>639.5</v>
      </c>
      <c r="H28" s="17">
        <f ca="1"/>
        <v>639.5</v>
      </c>
      <c r="I28" s="17">
        <f ca="1"/>
        <v>755.5</v>
      </c>
      <c r="J28" s="17">
        <f ca="1"/>
        <v>1930.5</v>
      </c>
      <c r="K28" s="17">
        <f ca="1"/>
        <v>1936.45</v>
      </c>
      <c r="L28" s="17">
        <f ca="1"/>
        <v>2680.65</v>
      </c>
      <c r="M28" s="17">
        <f ca="1"/>
        <v>2980.95</v>
      </c>
      <c r="N28" s="17">
        <f ca="1"/>
        <v>3293.95</v>
      </c>
      <c r="O28" s="17">
        <f ca="1"/>
        <v>3736.95</v>
      </c>
      <c r="P28" s="17">
        <f ca="1"/>
        <v>4516</v>
      </c>
      <c r="Q28" s="17">
        <f ca="1"/>
        <v>5172</v>
      </c>
      <c r="R28" s="17">
        <f ca="1"/>
        <v>5472</v>
      </c>
      <c r="S28" s="17">
        <f ca="1"/>
        <v>7844</v>
      </c>
      <c r="T28" s="17">
        <f ca="1"/>
        <v>8456.14</v>
      </c>
      <c r="U28" s="17">
        <f ca="1"/>
        <v>8910.14</v>
      </c>
      <c r="V28" s="17">
        <f ca="1"/>
        <v>9040</v>
      </c>
      <c r="W28" s="17">
        <f ca="1"/>
        <v>10152.64</v>
      </c>
      <c r="X28" s="17">
        <f ca="1"/>
        <v>10162.84</v>
      </c>
    </row>
    <row r="29" spans="1:28" hidden="1" x14ac:dyDescent="0.2">
      <c r="A29" t="str">
        <f ca="1"/>
        <v>Laos</v>
      </c>
      <c r="B29" t="str">
        <f ca="1"/>
        <v>Existing Capacity</v>
      </c>
      <c r="C29" t="str">
        <f ca="1"/>
        <v>MW</v>
      </c>
      <c r="D29" t="str">
        <f ca="1"/>
        <v>Transformation\Centralized Electricity Generation\Processes\Solar PV</v>
      </c>
      <c r="E29" s="17">
        <f ca="1"/>
        <v>0.3</v>
      </c>
      <c r="F29" s="17">
        <f ca="1"/>
        <v>0.3</v>
      </c>
      <c r="G29" s="17">
        <f ca="1"/>
        <v>0.3</v>
      </c>
      <c r="H29" s="17">
        <f ca="1"/>
        <v>0.3</v>
      </c>
      <c r="I29" s="17">
        <f ca="1"/>
        <v>0.41</v>
      </c>
      <c r="J29" s="17">
        <f ca="1"/>
        <v>0.47</v>
      </c>
      <c r="K29" s="17">
        <f ca="1"/>
        <v>0.45</v>
      </c>
      <c r="L29" s="17">
        <f ca="1"/>
        <v>0.5</v>
      </c>
      <c r="M29" s="17">
        <f ca="1"/>
        <v>0.59</v>
      </c>
      <c r="N29" s="17">
        <f ca="1"/>
        <v>0.59</v>
      </c>
      <c r="O29" s="17">
        <f ca="1"/>
        <v>0.81</v>
      </c>
      <c r="P29" s="17">
        <f ca="1"/>
        <v>1.05</v>
      </c>
      <c r="Q29" s="17">
        <f ca="1"/>
        <v>11.03</v>
      </c>
      <c r="R29" s="17">
        <f ca="1"/>
        <v>32.442</v>
      </c>
      <c r="S29" s="17">
        <f ca="1"/>
        <v>32.442</v>
      </c>
      <c r="T29" s="17">
        <f ca="1"/>
        <v>56</v>
      </c>
      <c r="U29" s="17">
        <f ca="1"/>
        <v>56</v>
      </c>
      <c r="V29" s="17">
        <f ca="1"/>
        <v>56</v>
      </c>
      <c r="W29" s="17">
        <f ca="1"/>
        <v>83</v>
      </c>
      <c r="X29" s="17">
        <f ca="1"/>
        <v>83</v>
      </c>
    </row>
    <row r="30" spans="1:28" hidden="1" x14ac:dyDescent="0.2">
      <c r="A30" t="str">
        <f ca="1"/>
        <v>Laos</v>
      </c>
      <c r="B30" t="str">
        <f ca="1"/>
        <v>Existing Capacity</v>
      </c>
      <c r="C30" t="str">
        <f ca="1"/>
        <v>MW</v>
      </c>
      <c r="D30" t="str">
        <f ca="1"/>
        <v>Transformation\Centralized Electricity Generation\Processes\Solar Floating</v>
      </c>
      <c r="E30" s="17">
        <f ca="1"/>
        <v>0</v>
      </c>
      <c r="F30" s="17">
        <f ca="1"/>
        <v>0</v>
      </c>
      <c r="G30" s="17">
        <f ca="1"/>
        <v>0</v>
      </c>
      <c r="H30" s="17">
        <f ca="1"/>
        <v>0</v>
      </c>
      <c r="I30" s="17">
        <f ca="1"/>
        <v>0</v>
      </c>
      <c r="J30" s="17">
        <f ca="1"/>
        <v>0</v>
      </c>
      <c r="K30" s="17">
        <f ca="1"/>
        <v>0</v>
      </c>
      <c r="L30" s="17">
        <f ca="1"/>
        <v>0</v>
      </c>
      <c r="M30" s="17">
        <f ca="1"/>
        <v>0</v>
      </c>
      <c r="N30" s="17">
        <f ca="1"/>
        <v>0</v>
      </c>
      <c r="O30" s="17">
        <f ca="1"/>
        <v>0</v>
      </c>
      <c r="P30" s="17">
        <f ca="1"/>
        <v>0</v>
      </c>
      <c r="Q30" s="17">
        <f ca="1"/>
        <v>0</v>
      </c>
      <c r="R30" s="17">
        <f ca="1"/>
        <v>0</v>
      </c>
      <c r="S30" s="17">
        <f ca="1"/>
        <v>0</v>
      </c>
      <c r="T30" s="17">
        <f ca="1"/>
        <v>0</v>
      </c>
      <c r="U30" s="17">
        <f ca="1"/>
        <v>0</v>
      </c>
      <c r="V30" s="17">
        <f ca="1"/>
        <v>0</v>
      </c>
      <c r="W30" s="17">
        <f ca="1"/>
        <v>0</v>
      </c>
      <c r="X30" s="17">
        <f ca="1"/>
        <v>0</v>
      </c>
    </row>
    <row r="31" spans="1:28" hidden="1" x14ac:dyDescent="0.2">
      <c r="A31" t="str">
        <f ca="1"/>
        <v>Laos</v>
      </c>
      <c r="B31" t="str">
        <f ca="1"/>
        <v>Existing Capacity</v>
      </c>
      <c r="C31" t="str">
        <f ca="1"/>
        <v>MW</v>
      </c>
      <c r="D31" t="str">
        <f ca="1"/>
        <v>Transformation\Centralized Electricity Generation\Processes\Biomass Other</v>
      </c>
      <c r="E31" s="17">
        <f ca="1"/>
        <v>0</v>
      </c>
      <c r="F31" s="17">
        <f ca="1"/>
        <v>0</v>
      </c>
      <c r="G31" s="17">
        <f ca="1"/>
        <v>0</v>
      </c>
      <c r="H31" s="17">
        <f ca="1"/>
        <v>0</v>
      </c>
      <c r="I31" s="17">
        <f ca="1"/>
        <v>0</v>
      </c>
      <c r="J31" s="17">
        <f ca="1"/>
        <v>0</v>
      </c>
      <c r="K31" s="17">
        <f ca="1"/>
        <v>0</v>
      </c>
      <c r="L31" s="17">
        <f ca="1"/>
        <v>0</v>
      </c>
      <c r="M31" s="17">
        <f ca="1"/>
        <v>1</v>
      </c>
      <c r="N31" s="17">
        <f ca="1"/>
        <v>5</v>
      </c>
      <c r="O31" s="17">
        <f ca="1"/>
        <v>40</v>
      </c>
      <c r="P31" s="17">
        <f ca="1"/>
        <v>25</v>
      </c>
      <c r="Q31" s="17">
        <f ca="1"/>
        <v>25</v>
      </c>
      <c r="R31" s="17">
        <f ca="1"/>
        <v>40</v>
      </c>
      <c r="S31" s="17">
        <f ca="1"/>
        <v>42.79</v>
      </c>
      <c r="T31" s="17">
        <f ca="1"/>
        <v>42.79</v>
      </c>
      <c r="U31" s="17">
        <f ca="1"/>
        <v>43</v>
      </c>
      <c r="V31" s="17">
        <f ca="1"/>
        <v>43</v>
      </c>
      <c r="W31" s="17">
        <f ca="1"/>
        <v>112</v>
      </c>
      <c r="X31" s="17">
        <f ca="1"/>
        <v>112</v>
      </c>
    </row>
    <row r="32" spans="1:28" x14ac:dyDescent="0.2">
      <c r="A32" t="s">
        <v>22</v>
      </c>
      <c r="B32" t="s">
        <v>102</v>
      </c>
      <c r="C32" t="str">
        <f>IF(B32="Existing Capacity", "MW", "GWh")</f>
        <v>MW</v>
      </c>
      <c r="D32" t="str" cm="1">
        <f t="array" aca="1" ref="D32:X39" ca="1">_xlfn.LET(_xlpm.country,A32,
_xlpm.table,INDIRECT(IF(B32="Existing Capacity",_xlpm.country,_xlpm.country&amp;"_HP")),
_xlpm.val,_xlfn._xlws.FILTER(_xlfn.HSTACK(leap[Branch Path],leap[[2005]:[2024]]),(leap[Region]=A32)*(leap[Variable]=B32)),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32" s="17">
        <f ca="1"/>
        <v>3900</v>
      </c>
      <c r="F32" s="17">
        <f ca="1"/>
        <v>4610</v>
      </c>
      <c r="G32" s="17">
        <f ca="1"/>
        <v>6010</v>
      </c>
      <c r="H32" s="17">
        <f ca="1"/>
        <v>6145</v>
      </c>
      <c r="I32" s="17">
        <f ca="1"/>
        <v>6755</v>
      </c>
      <c r="J32" s="17">
        <f ca="1"/>
        <v>7650</v>
      </c>
      <c r="K32" s="17">
        <f ca="1"/>
        <v>7680</v>
      </c>
      <c r="L32" s="17">
        <f ca="1"/>
        <v>7680</v>
      </c>
      <c r="M32" s="17">
        <f ca="1"/>
        <v>7680</v>
      </c>
      <c r="N32" s="17">
        <f ca="1"/>
        <v>7680</v>
      </c>
      <c r="O32" s="17">
        <f ca="1"/>
        <v>7536</v>
      </c>
      <c r="P32" s="17">
        <f ca="1"/>
        <v>8536</v>
      </c>
      <c r="Q32" s="17">
        <f ca="1"/>
        <v>8536</v>
      </c>
      <c r="R32" s="17">
        <f ca="1"/>
        <v>8628.2723307415126</v>
      </c>
      <c r="S32" s="17">
        <f ca="1"/>
        <v>10397.634743030532</v>
      </c>
      <c r="T32" s="17">
        <f ca="1"/>
        <v>10752.154750616348</v>
      </c>
      <c r="U32" s="17">
        <f ca="1"/>
        <v>10563.563057083255</v>
      </c>
      <c r="V32" s="17">
        <f ca="1"/>
        <v>10658.286270434288</v>
      </c>
      <c r="W32" s="17">
        <f ca="1"/>
        <v>10756.800000000001</v>
      </c>
      <c r="X32" s="17">
        <f ca="1"/>
        <v>10756.800000000001</v>
      </c>
    </row>
    <row r="33" spans="1:24" x14ac:dyDescent="0.2">
      <c r="A33" t="str" cm="1">
        <f t="array" aca="1" ref="A33:A39" ca="1">_xlfn.TOCOL(IF(_xlfn.SEQUENCE(, ROWS(_xlfn.ANCHORARRAY(D32))-1)&lt;=ROWS(_xlfn.ANCHORARRAY(D32))-1,A32,NA()))</f>
        <v>Malaysia</v>
      </c>
      <c r="B33" t="str" cm="1">
        <f t="array" aca="1" ref="B33:B39" ca="1">_xlfn.TOCOL(IF(_xlfn.SEQUENCE(, ROWS(_xlfn.ANCHORARRAY(D32))-1)&lt;=ROWS(_xlfn.ANCHORARRAY(D32))-1,B32,NA()))</f>
        <v>Existing Capacity</v>
      </c>
      <c r="C33" t="str" cm="1">
        <f t="array" aca="1" ref="C33:C39" ca="1">_xlfn.TOCOL(IF(_xlfn.SEQUENCE(, ROWS(_xlfn.ANCHORARRAY(D32))-1)&lt;=ROWS(_xlfn.ANCHORARRAY(D32))-1,C32,NA()))</f>
        <v>MW</v>
      </c>
      <c r="D33" t="str">
        <f ca="1"/>
        <v>Transformation\Centralized Electricity Generation\Processes\Coal Ultrasupercritical</v>
      </c>
      <c r="E33" s="17">
        <f ca="1"/>
        <v>0</v>
      </c>
      <c r="F33" s="17">
        <f ca="1"/>
        <v>0</v>
      </c>
      <c r="G33" s="17">
        <f ca="1"/>
        <v>0</v>
      </c>
      <c r="H33" s="17">
        <f ca="1"/>
        <v>0</v>
      </c>
      <c r="I33" s="17">
        <f ca="1"/>
        <v>0</v>
      </c>
      <c r="J33" s="17">
        <f ca="1"/>
        <v>0</v>
      </c>
      <c r="K33" s="17">
        <f ca="1"/>
        <v>0</v>
      </c>
      <c r="L33" s="17">
        <f ca="1"/>
        <v>0</v>
      </c>
      <c r="M33" s="17">
        <f ca="1"/>
        <v>0</v>
      </c>
      <c r="N33" s="17">
        <f ca="1"/>
        <v>0</v>
      </c>
      <c r="O33" s="17">
        <f ca="1"/>
        <v>1010</v>
      </c>
      <c r="P33" s="17">
        <f ca="1"/>
        <v>1010</v>
      </c>
      <c r="Q33" s="17">
        <f ca="1"/>
        <v>2010</v>
      </c>
      <c r="R33" s="17">
        <f ca="1"/>
        <v>2031.7276692584883</v>
      </c>
      <c r="S33" s="17">
        <f ca="1"/>
        <v>2448.3652569694691</v>
      </c>
      <c r="T33" s="17">
        <f ca="1"/>
        <v>2531.8452493836548</v>
      </c>
      <c r="U33" s="17">
        <f ca="1"/>
        <v>2487.4369429167477</v>
      </c>
      <c r="V33" s="17">
        <f ca="1"/>
        <v>0</v>
      </c>
      <c r="W33" s="17">
        <f ca="1"/>
        <v>3366.8</v>
      </c>
      <c r="X33" s="17">
        <f ca="1"/>
        <v>3395.3</v>
      </c>
    </row>
    <row r="34" spans="1:24" x14ac:dyDescent="0.2">
      <c r="A34" t="str">
        <f ca="1"/>
        <v>Malaysia</v>
      </c>
      <c r="B34" t="str">
        <f ca="1"/>
        <v>Existing Capacity</v>
      </c>
      <c r="C34" t="str">
        <f ca="1"/>
        <v>MW</v>
      </c>
      <c r="D34" t="str">
        <f ca="1"/>
        <v>Transformation\Centralized Electricity Generation\Processes\Diesel</v>
      </c>
      <c r="E34" s="17">
        <f ca="1"/>
        <v>818</v>
      </c>
      <c r="F34" s="17">
        <f ca="1"/>
        <v>623</v>
      </c>
      <c r="G34" s="17">
        <f ca="1"/>
        <v>603</v>
      </c>
      <c r="H34" s="17">
        <f ca="1"/>
        <v>594</v>
      </c>
      <c r="I34" s="17">
        <f ca="1"/>
        <v>659</v>
      </c>
      <c r="J34" s="17">
        <f ca="1"/>
        <v>702</v>
      </c>
      <c r="K34" s="17">
        <f ca="1"/>
        <v>2323</v>
      </c>
      <c r="L34" s="17">
        <f ca="1"/>
        <v>1768</v>
      </c>
      <c r="M34" s="17">
        <f ca="1"/>
        <v>1871</v>
      </c>
      <c r="N34" s="17">
        <f ca="1"/>
        <v>1315.3</v>
      </c>
      <c r="O34" s="17">
        <f ca="1"/>
        <v>1466.5</v>
      </c>
      <c r="P34" s="17">
        <f ca="1"/>
        <v>2090.3000000000002</v>
      </c>
      <c r="Q34" s="17">
        <f ca="1"/>
        <v>1406.3700000000001</v>
      </c>
      <c r="R34" s="17">
        <f ca="1"/>
        <v>812.5</v>
      </c>
      <c r="S34" s="17">
        <f ca="1"/>
        <v>813</v>
      </c>
      <c r="T34" s="17">
        <f ca="1"/>
        <v>538.35</v>
      </c>
      <c r="U34" s="17">
        <f ca="1"/>
        <v>351.6</v>
      </c>
      <c r="V34" s="17">
        <f ca="1"/>
        <v>595.92999999999995</v>
      </c>
      <c r="W34" s="17">
        <f ca="1"/>
        <v>617.11531149999996</v>
      </c>
      <c r="X34" s="17">
        <f ca="1"/>
        <v>648.67458853010999</v>
      </c>
    </row>
    <row r="35" spans="1:24" x14ac:dyDescent="0.2">
      <c r="A35" t="str">
        <f ca="1"/>
        <v>Malaysia</v>
      </c>
      <c r="B35" t="str">
        <f ca="1"/>
        <v>Existing Capacity</v>
      </c>
      <c r="C35" t="str">
        <f ca="1"/>
        <v>MW</v>
      </c>
      <c r="D35" t="str">
        <f ca="1"/>
        <v>Transformation\Centralized Electricity Generation\Processes\Gas Combined Cycle</v>
      </c>
      <c r="E35" s="17">
        <f ca="1"/>
        <v>12153</v>
      </c>
      <c r="F35" s="17">
        <f ca="1"/>
        <v>12679</v>
      </c>
      <c r="G35" s="17">
        <f ca="1"/>
        <v>12701</v>
      </c>
      <c r="H35" s="17">
        <f ca="1"/>
        <v>12821</v>
      </c>
      <c r="I35" s="17">
        <f ca="1"/>
        <v>13581</v>
      </c>
      <c r="J35" s="17">
        <f ca="1"/>
        <v>13852</v>
      </c>
      <c r="K35" s="17">
        <f ca="1"/>
        <v>14956</v>
      </c>
      <c r="L35" s="17">
        <f ca="1"/>
        <v>15546</v>
      </c>
      <c r="M35" s="17">
        <f ca="1"/>
        <v>15421</v>
      </c>
      <c r="N35" s="17">
        <f ca="1"/>
        <v>15248</v>
      </c>
      <c r="O35" s="17">
        <f ca="1"/>
        <v>13505.6</v>
      </c>
      <c r="P35" s="17">
        <f ca="1"/>
        <v>14074.5</v>
      </c>
      <c r="Q35" s="17">
        <f ca="1"/>
        <v>14676.98</v>
      </c>
      <c r="R35" s="17">
        <f ca="1"/>
        <v>14852.9</v>
      </c>
      <c r="S35" s="17">
        <f ca="1"/>
        <v>12362.3</v>
      </c>
      <c r="T35" s="17">
        <f ca="1"/>
        <v>12828.66</v>
      </c>
      <c r="U35" s="17">
        <f ca="1"/>
        <v>13351.4</v>
      </c>
      <c r="V35" s="17">
        <f ca="1"/>
        <v>13885.456</v>
      </c>
      <c r="W35" s="17">
        <f ca="1"/>
        <v>14440.874240000001</v>
      </c>
      <c r="X35" s="17">
        <f ca="1"/>
        <v>15018.509209600001</v>
      </c>
    </row>
    <row r="36" spans="1:24" x14ac:dyDescent="0.2">
      <c r="A36" t="str">
        <f ca="1"/>
        <v>Malaysia</v>
      </c>
      <c r="B36" t="str">
        <f ca="1"/>
        <v>Existing Capacity</v>
      </c>
      <c r="C36" t="str">
        <f ca="1"/>
        <v>MW</v>
      </c>
      <c r="D36" t="str">
        <f ca="1"/>
        <v>Transformation\Centralized Electricity Generation\Processes\Large Hydro</v>
      </c>
      <c r="E36" s="17">
        <f ca="1"/>
        <v>2093</v>
      </c>
      <c r="F36" s="17">
        <f ca="1"/>
        <v>2123</v>
      </c>
      <c r="G36" s="17">
        <f ca="1"/>
        <v>2106</v>
      </c>
      <c r="H36" s="17">
        <f ca="1"/>
        <v>2106</v>
      </c>
      <c r="I36" s="17">
        <f ca="1"/>
        <v>2108</v>
      </c>
      <c r="J36" s="17">
        <f ca="1"/>
        <v>2107</v>
      </c>
      <c r="K36" s="17">
        <f ca="1"/>
        <v>3015</v>
      </c>
      <c r="L36" s="17">
        <f ca="1"/>
        <v>3317</v>
      </c>
      <c r="M36" s="17">
        <f ca="1"/>
        <v>3931</v>
      </c>
      <c r="N36" s="17">
        <f ca="1"/>
        <v>4773.4000000000005</v>
      </c>
      <c r="O36" s="17">
        <f ca="1"/>
        <v>5716.1</v>
      </c>
      <c r="P36" s="17">
        <f ca="1"/>
        <v>6128.1</v>
      </c>
      <c r="Q36" s="17">
        <f ca="1"/>
        <v>6354.701</v>
      </c>
      <c r="R36" s="17">
        <f ca="1"/>
        <v>6167.9</v>
      </c>
      <c r="S36" s="17">
        <f ca="1"/>
        <v>6174.45</v>
      </c>
      <c r="T36" s="17">
        <f ca="1"/>
        <v>6188.3899999999994</v>
      </c>
      <c r="U36" s="17">
        <f ca="1"/>
        <v>6080.82</v>
      </c>
      <c r="V36" s="17">
        <f ca="1"/>
        <v>6209.28</v>
      </c>
      <c r="W36" s="17">
        <f ca="1"/>
        <v>6210</v>
      </c>
      <c r="X36" s="17">
        <f ca="1"/>
        <v>6230</v>
      </c>
    </row>
    <row r="37" spans="1:24" x14ac:dyDescent="0.2">
      <c r="A37" t="str">
        <f ca="1"/>
        <v>Malaysia</v>
      </c>
      <c r="B37" t="str">
        <f ca="1"/>
        <v>Existing Capacity</v>
      </c>
      <c r="C37" t="str">
        <f ca="1"/>
        <v>MW</v>
      </c>
      <c r="D37" t="str">
        <f ca="1"/>
        <v>Transformation\Centralized Electricity Generation\Processes\Solar PV</v>
      </c>
      <c r="E37" s="17">
        <f ca="1"/>
        <v>0</v>
      </c>
      <c r="F37" s="17">
        <f ca="1"/>
        <v>0</v>
      </c>
      <c r="G37" s="17">
        <f ca="1"/>
        <v>0</v>
      </c>
      <c r="H37" s="17">
        <f ca="1"/>
        <v>0</v>
      </c>
      <c r="I37" s="17">
        <f ca="1"/>
        <v>0</v>
      </c>
      <c r="J37" s="17">
        <f ca="1"/>
        <v>0</v>
      </c>
      <c r="K37" s="17">
        <f ca="1"/>
        <v>0</v>
      </c>
      <c r="L37" s="17">
        <f ca="1"/>
        <v>32.81</v>
      </c>
      <c r="M37" s="17">
        <f ca="1"/>
        <v>74.87</v>
      </c>
      <c r="N37" s="17">
        <f ca="1"/>
        <v>161</v>
      </c>
      <c r="O37" s="17">
        <f ca="1"/>
        <v>226.3</v>
      </c>
      <c r="P37" s="17">
        <f ca="1"/>
        <v>289.60000000000002</v>
      </c>
      <c r="Q37" s="17">
        <f ca="1"/>
        <v>394.91</v>
      </c>
      <c r="R37" s="17">
        <f ca="1"/>
        <v>797.1</v>
      </c>
      <c r="S37" s="17">
        <f ca="1"/>
        <v>1006</v>
      </c>
      <c r="T37" s="17">
        <f ca="1"/>
        <v>1335</v>
      </c>
      <c r="U37" s="17">
        <f ca="1"/>
        <v>1832.15</v>
      </c>
      <c r="V37" s="17">
        <f ca="1"/>
        <v>2423.14</v>
      </c>
      <c r="W37" s="17">
        <f ca="1"/>
        <v>1930</v>
      </c>
      <c r="X37" s="17">
        <f ca="1"/>
        <v>2310</v>
      </c>
    </row>
    <row r="38" spans="1:24" x14ac:dyDescent="0.2">
      <c r="A38" t="str">
        <f ca="1"/>
        <v>Malaysia</v>
      </c>
      <c r="B38" t="str">
        <f ca="1"/>
        <v>Existing Capacity</v>
      </c>
      <c r="C38" t="str">
        <f ca="1"/>
        <v>MW</v>
      </c>
      <c r="D38" t="str">
        <f ca="1"/>
        <v>Transformation\Centralized Electricity Generation\Processes\Biomass Other</v>
      </c>
      <c r="E38" s="17">
        <f ca="1"/>
        <v>468</v>
      </c>
      <c r="F38" s="17">
        <f ca="1"/>
        <v>441</v>
      </c>
      <c r="G38" s="17">
        <f ca="1"/>
        <v>546</v>
      </c>
      <c r="H38" s="17">
        <f ca="1"/>
        <v>566</v>
      </c>
      <c r="I38" s="17">
        <f ca="1"/>
        <v>1330</v>
      </c>
      <c r="J38" s="17">
        <f ca="1"/>
        <v>50</v>
      </c>
      <c r="K38" s="17">
        <f ca="1"/>
        <v>752</v>
      </c>
      <c r="L38" s="17">
        <f ca="1"/>
        <v>784</v>
      </c>
      <c r="M38" s="17">
        <f ca="1"/>
        <v>765</v>
      </c>
      <c r="N38" s="17">
        <f ca="1"/>
        <v>728.80000000000007</v>
      </c>
      <c r="O38" s="17">
        <f ca="1"/>
        <v>862.5</v>
      </c>
      <c r="P38" s="17">
        <f ca="1"/>
        <v>742.4</v>
      </c>
      <c r="Q38" s="17">
        <f ca="1"/>
        <v>784.15</v>
      </c>
      <c r="R38" s="17">
        <f ca="1"/>
        <v>573.94535092287219</v>
      </c>
      <c r="S38" s="17">
        <f ca="1"/>
        <v>482.47706416710071</v>
      </c>
      <c r="T38" s="17">
        <f ca="1"/>
        <v>690.57649077127815</v>
      </c>
      <c r="U38" s="17">
        <f ca="1"/>
        <v>580.69658161198879</v>
      </c>
      <c r="V38" s="17">
        <f ca="1"/>
        <v>326.61</v>
      </c>
      <c r="W38" s="17">
        <f ca="1"/>
        <v>819</v>
      </c>
      <c r="X38" s="17">
        <f ca="1"/>
        <v>828.1</v>
      </c>
    </row>
    <row r="39" spans="1:24" x14ac:dyDescent="0.2">
      <c r="A39" t="str">
        <f ca="1"/>
        <v>Malaysia</v>
      </c>
      <c r="B39" t="str">
        <f ca="1"/>
        <v>Existing Capacity</v>
      </c>
      <c r="C39" t="str">
        <f ca="1"/>
        <v>MW</v>
      </c>
      <c r="D39" t="str">
        <f ca="1"/>
        <v>Transformation\Centralized Electricity Generation\Processes\Biogas</v>
      </c>
      <c r="E39" s="17">
        <f ca="1"/>
        <v>0</v>
      </c>
      <c r="F39" s="17">
        <f ca="1"/>
        <v>0</v>
      </c>
      <c r="G39" s="17">
        <f ca="1"/>
        <v>0</v>
      </c>
      <c r="H39" s="17">
        <f ca="1"/>
        <v>0</v>
      </c>
      <c r="I39" s="17">
        <f ca="1"/>
        <v>0</v>
      </c>
      <c r="J39" s="17">
        <f ca="1"/>
        <v>0</v>
      </c>
      <c r="K39" s="17">
        <f ca="1"/>
        <v>10</v>
      </c>
      <c r="L39" s="17">
        <f ca="1"/>
        <v>24</v>
      </c>
      <c r="M39" s="17">
        <f ca="1"/>
        <v>24</v>
      </c>
      <c r="N39" s="17">
        <f ca="1"/>
        <v>24</v>
      </c>
      <c r="O39" s="17">
        <f ca="1"/>
        <v>80</v>
      </c>
      <c r="P39" s="17">
        <f ca="1"/>
        <v>80</v>
      </c>
      <c r="Q39" s="17">
        <f ca="1"/>
        <v>80</v>
      </c>
      <c r="R39" s="17">
        <f ca="1"/>
        <v>58.554649077127813</v>
      </c>
      <c r="S39" s="17">
        <f ca="1"/>
        <v>49.222935832899381</v>
      </c>
      <c r="T39" s="17">
        <f ca="1"/>
        <v>70.453509228721856</v>
      </c>
      <c r="U39" s="17">
        <f ca="1"/>
        <v>59.243418388011342</v>
      </c>
      <c r="V39" s="17">
        <f ca="1"/>
        <v>148.22999999999999</v>
      </c>
      <c r="W39" s="17">
        <f ca="1"/>
        <v>81</v>
      </c>
      <c r="X39" s="17">
        <f ca="1"/>
        <v>81.899999999999991</v>
      </c>
    </row>
    <row r="40" spans="1:24" hidden="1" x14ac:dyDescent="0.2">
      <c r="A40" t="s">
        <v>23</v>
      </c>
      <c r="B40" t="s">
        <v>102</v>
      </c>
      <c r="C40" t="str">
        <f>IF(B40="Existing Capacity", "MW", "GWh")</f>
        <v>MW</v>
      </c>
      <c r="D40" t="str" cm="1">
        <f t="array" aca="1" ref="D40:X49" ca="1">_xlfn.LET(_xlpm.country,A40,
_xlpm.table,INDIRECT(IF(B40="Existing Capacity",_xlpm.country,_xlpm.country&amp;"_HP")),
_xlpm.val,_xlfn._xlws.FILTER(_xlfn.HSTACK(leap[Branch Path],leap[[2005]:[2024]]),(leap[Region]=A40)*(leap[Variable]=B40)),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40" s="17">
        <f ca="1"/>
        <v>120</v>
      </c>
      <c r="F40" s="17">
        <f ca="1"/>
        <v>120</v>
      </c>
      <c r="G40" s="17">
        <f ca="1"/>
        <v>120</v>
      </c>
      <c r="H40" s="17">
        <f ca="1"/>
        <v>120</v>
      </c>
      <c r="I40" s="17">
        <f ca="1"/>
        <v>120</v>
      </c>
      <c r="J40" s="17">
        <f ca="1"/>
        <v>120</v>
      </c>
      <c r="K40" s="17">
        <f ca="1"/>
        <v>120</v>
      </c>
      <c r="L40" s="17">
        <f ca="1"/>
        <v>120</v>
      </c>
      <c r="M40" s="17">
        <f ca="1"/>
        <v>120</v>
      </c>
      <c r="N40" s="17">
        <f ca="1"/>
        <v>120</v>
      </c>
      <c r="O40" s="17">
        <f ca="1"/>
        <v>120</v>
      </c>
      <c r="P40" s="17">
        <f ca="1"/>
        <v>120</v>
      </c>
      <c r="Q40" s="17">
        <f ca="1"/>
        <v>120</v>
      </c>
      <c r="R40" s="17">
        <f ca="1"/>
        <v>120</v>
      </c>
      <c r="S40" s="17">
        <f ca="1"/>
        <v>120</v>
      </c>
      <c r="T40" s="17">
        <f ca="1"/>
        <v>120</v>
      </c>
      <c r="U40" s="17">
        <f ca="1"/>
        <v>120</v>
      </c>
      <c r="V40" s="17">
        <f ca="1"/>
        <v>138</v>
      </c>
      <c r="W40" s="17">
        <f ca="1"/>
        <v>190</v>
      </c>
      <c r="X40" s="17">
        <f ca="1"/>
        <v>190</v>
      </c>
    </row>
    <row r="41" spans="1:24" hidden="1" x14ac:dyDescent="0.2">
      <c r="A41" t="str" cm="1">
        <f t="array" aca="1" ref="A41:A49" ca="1">_xlfn.TOCOL(IF(_xlfn.SEQUENCE(, ROWS(_xlfn.ANCHORARRAY(D40))-1)&lt;=ROWS(_xlfn.ANCHORARRAY(D40))-1,A40,NA()))</f>
        <v>Myanmar</v>
      </c>
      <c r="B41" t="str" cm="1">
        <f t="array" aca="1" ref="B41:B49" ca="1">_xlfn.TOCOL(IF(_xlfn.SEQUENCE(, ROWS(_xlfn.ANCHORARRAY(D40))-1)&lt;=ROWS(_xlfn.ANCHORARRAY(D40))-1,B40,NA()))</f>
        <v>Existing Capacity</v>
      </c>
      <c r="C41" t="str" cm="1">
        <f t="array" aca="1" ref="C41:C49" ca="1">_xlfn.TOCOL(IF(_xlfn.SEQUENCE(, ROWS(_xlfn.ANCHORARRAY(D40))-1)&lt;=ROWS(_xlfn.ANCHORARRAY(D40))-1,C40,NA()))</f>
        <v>MW</v>
      </c>
      <c r="D41" t="str">
        <f ca="1"/>
        <v>Transformation\Centralized Electricity Generation\Processes\Diesel</v>
      </c>
      <c r="E41" s="17">
        <f ca="1"/>
        <v>68</v>
      </c>
      <c r="F41" s="17">
        <f ca="1"/>
        <v>70</v>
      </c>
      <c r="G41" s="17">
        <f ca="1"/>
        <v>70</v>
      </c>
      <c r="H41" s="17">
        <f ca="1"/>
        <v>57</v>
      </c>
      <c r="I41" s="17">
        <f ca="1"/>
        <v>55</v>
      </c>
      <c r="J41" s="17">
        <f ca="1"/>
        <v>63.02</v>
      </c>
      <c r="K41" s="17">
        <f ca="1"/>
        <v>63.02</v>
      </c>
      <c r="L41" s="17">
        <f ca="1"/>
        <v>78</v>
      </c>
      <c r="M41" s="17">
        <f ca="1"/>
        <v>85.14</v>
      </c>
      <c r="N41" s="17">
        <f ca="1"/>
        <v>89.2</v>
      </c>
      <c r="O41" s="17">
        <f ca="1"/>
        <v>94.98</v>
      </c>
      <c r="P41" s="17">
        <f ca="1"/>
        <v>94.3</v>
      </c>
      <c r="Q41" s="17">
        <f ca="1"/>
        <v>91.9</v>
      </c>
      <c r="R41" s="17">
        <f ca="1"/>
        <v>25</v>
      </c>
      <c r="S41" s="17">
        <f ca="1"/>
        <v>25</v>
      </c>
      <c r="T41" s="17">
        <f ca="1"/>
        <v>116</v>
      </c>
      <c r="U41" s="17">
        <f ca="1"/>
        <v>116.739</v>
      </c>
      <c r="V41" s="17">
        <f ca="1"/>
        <v>180.739</v>
      </c>
      <c r="W41" s="17">
        <f ca="1"/>
        <v>180.739</v>
      </c>
      <c r="X41" s="17">
        <f ca="1"/>
        <v>180.739</v>
      </c>
    </row>
    <row r="42" spans="1:24" hidden="1" x14ac:dyDescent="0.2">
      <c r="A42" t="str">
        <f ca="1"/>
        <v>Myanmar</v>
      </c>
      <c r="B42" t="str">
        <f ca="1"/>
        <v>Existing Capacity</v>
      </c>
      <c r="C42" t="str">
        <f ca="1"/>
        <v>MW</v>
      </c>
      <c r="D42" t="str">
        <f ca="1"/>
        <v>Transformation\Centralized Electricity Generation\Processes\Gas Turbine</v>
      </c>
      <c r="E42" s="17">
        <f ca="1"/>
        <v>285.3</v>
      </c>
      <c r="F42" s="17">
        <f ca="1"/>
        <v>252.3</v>
      </c>
      <c r="G42" s="17">
        <f ca="1"/>
        <v>253.3</v>
      </c>
      <c r="H42" s="17">
        <f ca="1"/>
        <v>253.3</v>
      </c>
      <c r="I42" s="17">
        <f ca="1"/>
        <v>244.3</v>
      </c>
      <c r="J42" s="17">
        <f ca="1"/>
        <v>244.2</v>
      </c>
      <c r="K42" s="17">
        <f ca="1"/>
        <v>244.2</v>
      </c>
      <c r="L42" s="17">
        <f ca="1"/>
        <v>244.3</v>
      </c>
      <c r="M42" s="17">
        <f ca="1"/>
        <v>385.27</v>
      </c>
      <c r="N42" s="17">
        <f ca="1"/>
        <v>577.99</v>
      </c>
      <c r="O42" s="17">
        <f ca="1"/>
        <v>785.44</v>
      </c>
      <c r="P42" s="17">
        <f ca="1"/>
        <v>630.25</v>
      </c>
      <c r="Q42" s="17">
        <f ca="1"/>
        <v>884.65</v>
      </c>
      <c r="R42" s="17">
        <f ca="1"/>
        <v>864.27071924914958</v>
      </c>
      <c r="S42" s="17">
        <f ca="1"/>
        <v>1045.0620431737166</v>
      </c>
      <c r="T42" s="17">
        <f ca="1"/>
        <v>2116.3139999999999</v>
      </c>
      <c r="U42" s="17">
        <f ca="1"/>
        <v>2429.819</v>
      </c>
      <c r="V42" s="17">
        <f ca="1"/>
        <v>2195.3040000000001</v>
      </c>
      <c r="W42" s="17">
        <f ca="1"/>
        <v>1124.8</v>
      </c>
      <c r="X42" s="17">
        <f ca="1"/>
        <v>1124.8</v>
      </c>
    </row>
    <row r="43" spans="1:24" hidden="1" x14ac:dyDescent="0.2">
      <c r="A43" t="str">
        <f ca="1"/>
        <v>Myanmar</v>
      </c>
      <c r="B43" t="str">
        <f ca="1"/>
        <v>Existing Capacity</v>
      </c>
      <c r="C43" t="str">
        <f ca="1"/>
        <v>MW</v>
      </c>
      <c r="D43" t="str">
        <f ca="1"/>
        <v>Transformation\Centralized Electricity Generation\Processes\Gas Engine</v>
      </c>
      <c r="E43" s="17">
        <f ca="1"/>
        <v>0</v>
      </c>
      <c r="F43" s="17">
        <f ca="1"/>
        <v>0</v>
      </c>
      <c r="G43" s="17">
        <f ca="1"/>
        <v>0</v>
      </c>
      <c r="H43" s="17">
        <f ca="1"/>
        <v>0</v>
      </c>
      <c r="I43" s="17">
        <f ca="1"/>
        <v>0</v>
      </c>
      <c r="J43" s="17">
        <f ca="1"/>
        <v>0</v>
      </c>
      <c r="K43" s="17">
        <f ca="1"/>
        <v>0</v>
      </c>
      <c r="L43" s="17">
        <f ca="1"/>
        <v>0</v>
      </c>
      <c r="M43" s="17">
        <f ca="1"/>
        <v>80.23</v>
      </c>
      <c r="N43" s="17">
        <f ca="1"/>
        <v>132.22999999999999</v>
      </c>
      <c r="O43" s="17">
        <f ca="1"/>
        <v>159.22999999999999</v>
      </c>
      <c r="P43" s="17">
        <f ca="1"/>
        <v>589.54999999999995</v>
      </c>
      <c r="Q43" s="17">
        <f ca="1"/>
        <v>589.54999999999995</v>
      </c>
      <c r="R43" s="17">
        <f ca="1"/>
        <v>679.78360586449446</v>
      </c>
      <c r="S43" s="17">
        <f ca="1"/>
        <v>821.98323770349589</v>
      </c>
      <c r="T43" s="17">
        <f ca="1"/>
        <v>0</v>
      </c>
      <c r="U43" s="17">
        <f ca="1"/>
        <v>0</v>
      </c>
      <c r="V43" s="17">
        <f ca="1"/>
        <v>0</v>
      </c>
      <c r="W43" s="17">
        <f ca="1"/>
        <v>881.59999999999991</v>
      </c>
      <c r="X43" s="17">
        <f ca="1"/>
        <v>881.59999999999991</v>
      </c>
    </row>
    <row r="44" spans="1:24" hidden="1" x14ac:dyDescent="0.2">
      <c r="A44" t="str">
        <f ca="1"/>
        <v>Myanmar</v>
      </c>
      <c r="B44" t="str">
        <f ca="1"/>
        <v>Existing Capacity</v>
      </c>
      <c r="C44" t="str">
        <f ca="1"/>
        <v>MW</v>
      </c>
      <c r="D44" t="str">
        <f ca="1"/>
        <v>Transformation\Centralized Electricity Generation\Processes\Gas Combined Cycle</v>
      </c>
      <c r="E44" s="17">
        <f ca="1"/>
        <v>470.7</v>
      </c>
      <c r="F44" s="17">
        <f ca="1"/>
        <v>470.7</v>
      </c>
      <c r="G44" s="17">
        <f ca="1"/>
        <v>470.7</v>
      </c>
      <c r="H44" s="17">
        <f ca="1"/>
        <v>470.7</v>
      </c>
      <c r="I44" s="17">
        <f ca="1"/>
        <v>470.7</v>
      </c>
      <c r="J44" s="17">
        <f ca="1"/>
        <v>470.7</v>
      </c>
      <c r="K44" s="17">
        <f ca="1"/>
        <v>470.7</v>
      </c>
      <c r="L44" s="17">
        <f ca="1"/>
        <v>470.7</v>
      </c>
      <c r="M44" s="17">
        <f ca="1"/>
        <v>470.7</v>
      </c>
      <c r="N44" s="17">
        <f ca="1"/>
        <v>700.7</v>
      </c>
      <c r="O44" s="17">
        <f ca="1"/>
        <v>700.7</v>
      </c>
      <c r="P44" s="17">
        <f ca="1"/>
        <v>700.7</v>
      </c>
      <c r="Q44" s="17">
        <f ca="1"/>
        <v>700.7</v>
      </c>
      <c r="R44" s="17">
        <f ca="1"/>
        <v>807.94567488635619</v>
      </c>
      <c r="S44" s="17">
        <f ca="1"/>
        <v>976.95471912278776</v>
      </c>
      <c r="T44" s="17">
        <f ca="1"/>
        <v>1174.6400000000001</v>
      </c>
      <c r="U44" s="17">
        <f ca="1"/>
        <v>1174.6400000000001</v>
      </c>
      <c r="V44" s="17">
        <f ca="1"/>
        <v>1333.64</v>
      </c>
      <c r="W44" s="17">
        <f ca="1"/>
        <v>1033.6000000000001</v>
      </c>
      <c r="X44" s="17">
        <f ca="1"/>
        <v>1033.6000000000001</v>
      </c>
    </row>
    <row r="45" spans="1:24" hidden="1" x14ac:dyDescent="0.2">
      <c r="A45" t="str">
        <f ca="1"/>
        <v>Myanmar</v>
      </c>
      <c r="B45" t="str">
        <f ca="1"/>
        <v>Existing Capacity</v>
      </c>
      <c r="C45" t="str">
        <f ca="1"/>
        <v>MW</v>
      </c>
      <c r="D45" t="str">
        <f ca="1"/>
        <v>Transformation\Centralized Electricity Generation\Processes\Large Hydro</v>
      </c>
      <c r="E45" s="17">
        <f ca="1"/>
        <v>746</v>
      </c>
      <c r="F45" s="17">
        <f ca="1"/>
        <v>771</v>
      </c>
      <c r="G45" s="17">
        <f ca="1"/>
        <v>803</v>
      </c>
      <c r="H45" s="17">
        <f ca="1"/>
        <v>947</v>
      </c>
      <c r="I45" s="17">
        <f ca="1"/>
        <v>1654</v>
      </c>
      <c r="J45" s="17">
        <f ca="1"/>
        <v>2559.34</v>
      </c>
      <c r="K45" s="17">
        <f ca="1"/>
        <v>2693.34</v>
      </c>
      <c r="L45" s="17">
        <f ca="1"/>
        <v>2813.33</v>
      </c>
      <c r="M45" s="17">
        <f ca="1"/>
        <v>3004</v>
      </c>
      <c r="N45" s="17">
        <f ca="1"/>
        <v>3185.17</v>
      </c>
      <c r="O45" s="17">
        <f ca="1"/>
        <v>3215.17</v>
      </c>
      <c r="P45" s="17">
        <f ca="1"/>
        <v>3255.17</v>
      </c>
      <c r="Q45" s="17">
        <f ca="1"/>
        <v>3255.17</v>
      </c>
      <c r="R45" s="17">
        <f ca="1"/>
        <v>3304</v>
      </c>
      <c r="S45" s="17">
        <f ca="1"/>
        <v>3304</v>
      </c>
      <c r="T45" s="17">
        <f ca="1"/>
        <v>3225</v>
      </c>
      <c r="U45" s="17">
        <f ca="1"/>
        <v>3225</v>
      </c>
      <c r="V45" s="17">
        <f ca="1"/>
        <v>3225</v>
      </c>
      <c r="W45" s="17">
        <f ca="1"/>
        <v>3270</v>
      </c>
      <c r="X45" s="17">
        <f ca="1"/>
        <v>3270</v>
      </c>
    </row>
    <row r="46" spans="1:24" hidden="1" x14ac:dyDescent="0.2">
      <c r="A46" t="str">
        <f ca="1"/>
        <v>Myanmar</v>
      </c>
      <c r="B46" t="str">
        <f ca="1"/>
        <v>Existing Capacity</v>
      </c>
      <c r="C46" t="str">
        <f ca="1"/>
        <v>MW</v>
      </c>
      <c r="D46" t="str">
        <f ca="1"/>
        <v>Transformation\Centralized Electricity Generation\Processes\Small Hydro</v>
      </c>
      <c r="E46" s="17">
        <f ca="1"/>
        <v>0</v>
      </c>
      <c r="F46" s="17">
        <f ca="1"/>
        <v>0</v>
      </c>
      <c r="G46" s="17">
        <f ca="1"/>
        <v>0</v>
      </c>
      <c r="H46" s="17">
        <f ca="1"/>
        <v>0</v>
      </c>
      <c r="I46" s="17">
        <f ca="1"/>
        <v>0</v>
      </c>
      <c r="J46" s="17">
        <f ca="1"/>
        <v>0</v>
      </c>
      <c r="K46" s="17">
        <f ca="1"/>
        <v>0</v>
      </c>
      <c r="L46" s="17">
        <f ca="1"/>
        <v>0</v>
      </c>
      <c r="M46" s="17">
        <f ca="1"/>
        <v>0</v>
      </c>
      <c r="N46" s="17">
        <f ca="1"/>
        <v>0</v>
      </c>
      <c r="O46" s="17">
        <f ca="1"/>
        <v>0</v>
      </c>
      <c r="P46" s="17">
        <f ca="1"/>
        <v>0</v>
      </c>
      <c r="Q46" s="17">
        <f ca="1"/>
        <v>0</v>
      </c>
      <c r="R46" s="17">
        <f ca="1"/>
        <v>0</v>
      </c>
      <c r="S46" s="17">
        <f ca="1"/>
        <v>0</v>
      </c>
      <c r="T46" s="17">
        <f ca="1"/>
        <v>37.374000000000002</v>
      </c>
      <c r="U46" s="17">
        <f ca="1"/>
        <v>37.374000000000002</v>
      </c>
      <c r="V46" s="17">
        <f ca="1"/>
        <v>37.374000000000002</v>
      </c>
      <c r="W46" s="17">
        <f ca="1"/>
        <v>37.374000000000002</v>
      </c>
      <c r="X46" s="17">
        <f ca="1"/>
        <v>37.374000000000002</v>
      </c>
    </row>
    <row r="47" spans="1:24" hidden="1" x14ac:dyDescent="0.2">
      <c r="A47" t="str">
        <f ca="1"/>
        <v>Myanmar</v>
      </c>
      <c r="B47" t="str">
        <f ca="1"/>
        <v>Existing Capacity</v>
      </c>
      <c r="C47" t="str">
        <f ca="1"/>
        <v>MW</v>
      </c>
      <c r="D47" t="str">
        <f ca="1"/>
        <v>Transformation\Centralized Electricity Generation\Processes\Solar PV</v>
      </c>
      <c r="E47" s="17">
        <f ca="1"/>
        <v>0</v>
      </c>
      <c r="F47" s="17">
        <f ca="1"/>
        <v>0</v>
      </c>
      <c r="G47" s="17">
        <f ca="1"/>
        <v>0</v>
      </c>
      <c r="H47" s="17">
        <f ca="1"/>
        <v>0</v>
      </c>
      <c r="I47" s="17">
        <f ca="1"/>
        <v>0</v>
      </c>
      <c r="J47" s="17">
        <f ca="1"/>
        <v>3.7</v>
      </c>
      <c r="K47" s="17">
        <f ca="1"/>
        <v>3.7</v>
      </c>
      <c r="L47" s="17">
        <f ca="1"/>
        <v>4.68</v>
      </c>
      <c r="M47" s="17">
        <f ca="1"/>
        <v>0</v>
      </c>
      <c r="N47" s="17">
        <f ca="1"/>
        <v>0</v>
      </c>
      <c r="O47" s="17">
        <f ca="1"/>
        <v>0</v>
      </c>
      <c r="P47" s="17">
        <f ca="1"/>
        <v>0</v>
      </c>
      <c r="Q47" s="17">
        <f ca="1"/>
        <v>0</v>
      </c>
      <c r="R47" s="17">
        <f ca="1"/>
        <v>0</v>
      </c>
      <c r="S47" s="17">
        <f ca="1"/>
        <v>88</v>
      </c>
      <c r="T47" s="17">
        <f ca="1"/>
        <v>41</v>
      </c>
      <c r="U47" s="17">
        <f ca="1"/>
        <v>70.5</v>
      </c>
      <c r="V47" s="17">
        <f ca="1"/>
        <v>181.16900000000001</v>
      </c>
      <c r="W47" s="17">
        <f ca="1"/>
        <v>180</v>
      </c>
      <c r="X47" s="17">
        <f ca="1"/>
        <v>220</v>
      </c>
    </row>
    <row r="48" spans="1:24" hidden="1" x14ac:dyDescent="0.2">
      <c r="A48" t="str">
        <f ca="1"/>
        <v>Myanmar</v>
      </c>
      <c r="B48" t="str">
        <f ca="1"/>
        <v>Existing Capacity</v>
      </c>
      <c r="C48" t="str">
        <f ca="1"/>
        <v>MW</v>
      </c>
      <c r="D48" t="str">
        <f ca="1"/>
        <v>Transformation\Centralized Electricity Generation\Processes\Wind Onshore</v>
      </c>
      <c r="E48" s="17">
        <f ca="1"/>
        <v>0</v>
      </c>
      <c r="F48" s="17">
        <f ca="1"/>
        <v>0</v>
      </c>
      <c r="G48" s="17">
        <f ca="1"/>
        <v>0</v>
      </c>
      <c r="H48" s="17">
        <f ca="1"/>
        <v>0</v>
      </c>
      <c r="I48" s="17">
        <f ca="1"/>
        <v>0</v>
      </c>
      <c r="J48" s="17">
        <f ca="1"/>
        <v>0.02</v>
      </c>
      <c r="K48" s="17">
        <f ca="1"/>
        <v>0.02</v>
      </c>
      <c r="L48" s="17">
        <f ca="1"/>
        <v>0.02</v>
      </c>
      <c r="M48" s="17">
        <f ca="1"/>
        <v>0</v>
      </c>
      <c r="N48" s="17">
        <f ca="1"/>
        <v>0</v>
      </c>
      <c r="O48" s="17">
        <f ca="1"/>
        <v>0</v>
      </c>
      <c r="P48" s="17">
        <f ca="1"/>
        <v>0</v>
      </c>
      <c r="Q48" s="17">
        <f ca="1"/>
        <v>0</v>
      </c>
      <c r="R48" s="17">
        <f ca="1"/>
        <v>0</v>
      </c>
      <c r="S48" s="17">
        <f ca="1"/>
        <v>0</v>
      </c>
      <c r="T48" s="17">
        <f ca="1"/>
        <v>0</v>
      </c>
      <c r="U48" s="17">
        <f ca="1"/>
        <v>0</v>
      </c>
      <c r="V48" s="17">
        <f ca="1"/>
        <v>0</v>
      </c>
      <c r="W48" s="17">
        <f ca="1"/>
        <v>0</v>
      </c>
      <c r="X48" s="17">
        <f ca="1"/>
        <v>0</v>
      </c>
    </row>
    <row r="49" spans="1:24" hidden="1" x14ac:dyDescent="0.2">
      <c r="A49" t="str">
        <f ca="1"/>
        <v>Myanmar</v>
      </c>
      <c r="B49" t="str">
        <f ca="1"/>
        <v>Existing Capacity</v>
      </c>
      <c r="C49" t="str">
        <f ca="1"/>
        <v>MW</v>
      </c>
      <c r="D49" t="str">
        <f ca="1"/>
        <v>Transformation\Centralized Electricity Generation\Processes\Biomass Other</v>
      </c>
      <c r="E49" s="17">
        <f ca="1"/>
        <v>0</v>
      </c>
      <c r="F49" s="17">
        <f ca="1"/>
        <v>0</v>
      </c>
      <c r="G49" s="17">
        <f ca="1"/>
        <v>0</v>
      </c>
      <c r="H49" s="17">
        <f ca="1"/>
        <v>0</v>
      </c>
      <c r="I49" s="17">
        <f ca="1"/>
        <v>0</v>
      </c>
      <c r="J49" s="17">
        <f ca="1"/>
        <v>0</v>
      </c>
      <c r="K49" s="17">
        <f ca="1"/>
        <v>0</v>
      </c>
      <c r="L49" s="17">
        <f ca="1"/>
        <v>0</v>
      </c>
      <c r="M49" s="17">
        <f ca="1"/>
        <v>0</v>
      </c>
      <c r="N49" s="17">
        <f ca="1"/>
        <v>0</v>
      </c>
      <c r="O49" s="17">
        <f ca="1"/>
        <v>0</v>
      </c>
      <c r="P49" s="17">
        <f ca="1"/>
        <v>0</v>
      </c>
      <c r="Q49" s="17">
        <f ca="1"/>
        <v>0</v>
      </c>
      <c r="R49" s="17">
        <f ca="1"/>
        <v>0</v>
      </c>
      <c r="S49" s="17">
        <f ca="1"/>
        <v>5</v>
      </c>
      <c r="T49" s="17">
        <f ca="1"/>
        <v>0</v>
      </c>
      <c r="U49" s="17">
        <f ca="1"/>
        <v>0</v>
      </c>
      <c r="V49" s="17">
        <f ca="1"/>
        <v>0</v>
      </c>
      <c r="W49" s="17">
        <f ca="1"/>
        <v>0</v>
      </c>
      <c r="X49" s="17">
        <f ca="1"/>
        <v>0</v>
      </c>
    </row>
    <row r="50" spans="1:24" hidden="1" x14ac:dyDescent="0.2">
      <c r="A50" t="s">
        <v>25</v>
      </c>
      <c r="B50" t="s">
        <v>102</v>
      </c>
      <c r="C50" t="str">
        <f>IF(B50="Existing Capacity", "MW", "GWh")</f>
        <v>MW</v>
      </c>
      <c r="D50" t="str" cm="1">
        <f t="array" aca="1" ref="D50:X57" ca="1">_xlfn.LET(_xlpm.country,A50,
_xlpm.table,INDIRECT(IF(B50="Existing Capacity",_xlpm.country,_xlpm.country&amp;"_HP")),
_xlpm.val,_xlfn._xlws.FILTER(_xlfn.HSTACK(leap[Branch Path],leap[[2005]:[2024]]),(leap[Region]=A50)*(leap[Variable]=B50)),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50" s="17">
        <f ca="1"/>
        <v>3967.1</v>
      </c>
      <c r="F50" s="17">
        <f ca="1"/>
        <v>4177.1000000000004</v>
      </c>
      <c r="G50" s="17">
        <f ca="1"/>
        <v>4213.1000000000004</v>
      </c>
      <c r="H50" s="17">
        <f ca="1"/>
        <v>4213.1000000000004</v>
      </c>
      <c r="I50" s="17">
        <f ca="1"/>
        <v>4276.6000000000004</v>
      </c>
      <c r="J50" s="17">
        <f ca="1"/>
        <v>4866.6000000000004</v>
      </c>
      <c r="K50" s="17">
        <f ca="1"/>
        <v>4916.6000000000004</v>
      </c>
      <c r="L50" s="17">
        <f ca="1"/>
        <v>5568.2</v>
      </c>
      <c r="M50" s="17">
        <f ca="1"/>
        <v>5568.2</v>
      </c>
      <c r="N50" s="17">
        <f ca="1"/>
        <v>5708.2</v>
      </c>
      <c r="O50" s="17">
        <f ca="1"/>
        <v>5962.95</v>
      </c>
      <c r="P50" s="17">
        <f ca="1"/>
        <v>7418.6500000000005</v>
      </c>
      <c r="Q50" s="17">
        <f ca="1"/>
        <v>8048.95</v>
      </c>
      <c r="R50" s="17">
        <f ca="1"/>
        <v>8843.65</v>
      </c>
      <c r="S50" s="17">
        <f ca="1"/>
        <v>10417.15</v>
      </c>
      <c r="T50" s="17">
        <f ca="1"/>
        <v>10943.9</v>
      </c>
      <c r="U50" s="17">
        <f ca="1"/>
        <v>11668.9</v>
      </c>
      <c r="V50" s="17">
        <f ca="1"/>
        <v>12428.185999999998</v>
      </c>
      <c r="W50" s="17">
        <f ca="1"/>
        <v>12406.335999999998</v>
      </c>
      <c r="X50" s="17">
        <f ca="1"/>
        <v>13006.435999999996</v>
      </c>
    </row>
    <row r="51" spans="1:24" hidden="1" x14ac:dyDescent="0.2">
      <c r="A51" t="str" cm="1">
        <f t="array" aca="1" ref="A51:A57" ca="1">_xlfn.TOCOL(IF(_xlfn.SEQUENCE(, ROWS(_xlfn.ANCHORARRAY(D50))-1)&lt;=ROWS(_xlfn.ANCHORARRAY(D50))-1,A50,NA()))</f>
        <v>Philippines</v>
      </c>
      <c r="B51" t="str" cm="1">
        <f t="array" aca="1" ref="B51:B57" ca="1">_xlfn.TOCOL(IF(_xlfn.SEQUENCE(, ROWS(_xlfn.ANCHORARRAY(D50))-1)&lt;=ROWS(_xlfn.ANCHORARRAY(D50))-1,B50,NA()))</f>
        <v>Existing Capacity</v>
      </c>
      <c r="C51" t="str" cm="1">
        <f t="array" aca="1" ref="C51:C57" ca="1">_xlfn.TOCOL(IF(_xlfn.SEQUENCE(, ROWS(_xlfn.ANCHORARRAY(D50))-1)&lt;=ROWS(_xlfn.ANCHORARRAY(D50))-1,C50,NA()))</f>
        <v>MW</v>
      </c>
      <c r="D51" t="str">
        <f ca="1"/>
        <v>Transformation\Centralized Electricity Generation\Processes\Diesel</v>
      </c>
      <c r="E51" s="17">
        <f ca="1"/>
        <v>3662.6040000000003</v>
      </c>
      <c r="F51" s="17">
        <f ca="1"/>
        <v>3602.0039999999999</v>
      </c>
      <c r="G51" s="17">
        <f ca="1"/>
        <v>3616.1040000000003</v>
      </c>
      <c r="H51" s="17">
        <f ca="1"/>
        <v>3353.114</v>
      </c>
      <c r="I51" s="17">
        <f ca="1"/>
        <v>3193.3340000000003</v>
      </c>
      <c r="J51" s="17">
        <f ca="1"/>
        <v>3193.33</v>
      </c>
      <c r="K51" s="17">
        <f ca="1"/>
        <v>2994.114</v>
      </c>
      <c r="L51" s="17">
        <f ca="1"/>
        <v>3073.5840000000003</v>
      </c>
      <c r="M51" s="17">
        <f ca="1"/>
        <v>3353.4839999999999</v>
      </c>
      <c r="N51" s="17">
        <f ca="1"/>
        <v>3476.3240000000001</v>
      </c>
      <c r="O51" s="17">
        <f ca="1"/>
        <v>3610.29</v>
      </c>
      <c r="P51" s="17">
        <f ca="1"/>
        <v>3615.6640000000002</v>
      </c>
      <c r="Q51" s="17">
        <f ca="1"/>
        <v>4153.2129999999997</v>
      </c>
      <c r="R51" s="17">
        <f ca="1"/>
        <v>4291.9677999999994</v>
      </c>
      <c r="S51" s="17">
        <f ca="1"/>
        <v>4262.4189999999999</v>
      </c>
      <c r="T51" s="17">
        <f ca="1"/>
        <v>4236.561999999999</v>
      </c>
      <c r="U51" s="17">
        <f ca="1"/>
        <v>3847.1620000000003</v>
      </c>
      <c r="V51" s="17">
        <f ca="1"/>
        <v>3834.192</v>
      </c>
      <c r="W51" s="17">
        <f ca="1"/>
        <v>3736.5119999999997</v>
      </c>
      <c r="X51" s="17">
        <f ca="1"/>
        <v>3448.2759999999998</v>
      </c>
    </row>
    <row r="52" spans="1:24" hidden="1" x14ac:dyDescent="0.2">
      <c r="A52" t="str">
        <f ca="1"/>
        <v>Philippines</v>
      </c>
      <c r="B52" t="str">
        <f ca="1"/>
        <v>Existing Capacity</v>
      </c>
      <c r="C52" t="str">
        <f ca="1"/>
        <v>MW</v>
      </c>
      <c r="D52" t="str">
        <f ca="1"/>
        <v>Transformation\Centralized Electricity Generation\Processes\Gas Combined Cycle</v>
      </c>
      <c r="E52" s="17">
        <f ca="1"/>
        <v>2763</v>
      </c>
      <c r="F52" s="17">
        <f ca="1"/>
        <v>2763</v>
      </c>
      <c r="G52" s="17">
        <f ca="1"/>
        <v>2834</v>
      </c>
      <c r="H52" s="17">
        <f ca="1"/>
        <v>2831</v>
      </c>
      <c r="I52" s="17">
        <f ca="1"/>
        <v>2831</v>
      </c>
      <c r="J52" s="17">
        <f ca="1"/>
        <v>2861</v>
      </c>
      <c r="K52" s="17">
        <f ca="1"/>
        <v>2861</v>
      </c>
      <c r="L52" s="17">
        <f ca="1"/>
        <v>2862</v>
      </c>
      <c r="M52" s="17">
        <f ca="1"/>
        <v>2862.02</v>
      </c>
      <c r="N52" s="17">
        <f ca="1"/>
        <v>2862.02</v>
      </c>
      <c r="O52" s="17">
        <f ca="1"/>
        <v>2862.02</v>
      </c>
      <c r="P52" s="17">
        <f ca="1"/>
        <v>3431.12</v>
      </c>
      <c r="Q52" s="17">
        <f ca="1"/>
        <v>3446.52</v>
      </c>
      <c r="R52" s="17">
        <f ca="1"/>
        <v>3452.5</v>
      </c>
      <c r="S52" s="17">
        <f ca="1"/>
        <v>3452.54</v>
      </c>
      <c r="T52" s="17">
        <f ca="1"/>
        <v>3452.54</v>
      </c>
      <c r="U52" s="17">
        <f ca="1"/>
        <v>3452.54</v>
      </c>
      <c r="V52" s="17">
        <f ca="1"/>
        <v>3731.5880000000002</v>
      </c>
      <c r="W52" s="17">
        <f ca="1"/>
        <v>3731.5880000000002</v>
      </c>
      <c r="X52" s="17">
        <f ca="1"/>
        <v>3731.5880000000002</v>
      </c>
    </row>
    <row r="53" spans="1:24" hidden="1" x14ac:dyDescent="0.2">
      <c r="A53" t="str">
        <f ca="1"/>
        <v>Philippines</v>
      </c>
      <c r="B53" t="str">
        <f ca="1"/>
        <v>Existing Capacity</v>
      </c>
      <c r="C53" t="str">
        <f ca="1"/>
        <v>MW</v>
      </c>
      <c r="D53" t="str">
        <f ca="1"/>
        <v>Transformation\Centralized Electricity Generation\Processes\Large Hydro</v>
      </c>
      <c r="E53" s="17">
        <f ca="1"/>
        <v>3222.12</v>
      </c>
      <c r="F53" s="17">
        <f ca="1"/>
        <v>3256.7200000000003</v>
      </c>
      <c r="G53" s="17">
        <f ca="1"/>
        <v>3292.9300000000003</v>
      </c>
      <c r="H53" s="17">
        <f ca="1"/>
        <v>3291.4700000000003</v>
      </c>
      <c r="I53" s="17">
        <f ca="1"/>
        <v>3291.35</v>
      </c>
      <c r="J53" s="17">
        <f ca="1"/>
        <v>3399.55</v>
      </c>
      <c r="K53" s="17">
        <f ca="1"/>
        <v>3490.7339999999999</v>
      </c>
      <c r="L53" s="17">
        <f ca="1"/>
        <v>3520.8139999999999</v>
      </c>
      <c r="M53" s="17">
        <f ca="1"/>
        <v>3520.8139999999999</v>
      </c>
      <c r="N53" s="17">
        <f ca="1"/>
        <v>3543.2620000000002</v>
      </c>
      <c r="O53" s="17">
        <f ca="1"/>
        <v>3600.462</v>
      </c>
      <c r="P53" s="17">
        <f ca="1"/>
        <v>3617.5419999999999</v>
      </c>
      <c r="Q53" s="17">
        <f ca="1"/>
        <v>3627.2449999999999</v>
      </c>
      <c r="R53" s="17">
        <f ca="1"/>
        <v>3701.0720000000001</v>
      </c>
      <c r="S53" s="17">
        <f ca="1"/>
        <v>3759.817</v>
      </c>
      <c r="T53" s="17">
        <f ca="1"/>
        <v>3779.3069990000004</v>
      </c>
      <c r="U53" s="17">
        <f ca="1"/>
        <v>3752.3679999999999</v>
      </c>
      <c r="V53" s="17">
        <f ca="1"/>
        <v>3744.8449999999993</v>
      </c>
      <c r="W53" s="17">
        <f ca="1"/>
        <v>3799.4619999999995</v>
      </c>
      <c r="X53" s="17">
        <f ca="1"/>
        <v>3836.0269999999996</v>
      </c>
    </row>
    <row r="54" spans="1:24" hidden="1" x14ac:dyDescent="0.2">
      <c r="A54" t="str">
        <f ca="1"/>
        <v>Philippines</v>
      </c>
      <c r="B54" t="str">
        <f ca="1"/>
        <v>Existing Capacity</v>
      </c>
      <c r="C54" t="str">
        <f ca="1"/>
        <v>MW</v>
      </c>
      <c r="D54" t="str">
        <f ca="1"/>
        <v>Transformation\Centralized Electricity Generation\Processes\Geothermal Flash</v>
      </c>
      <c r="E54" s="17">
        <f ca="1"/>
        <v>1978.31</v>
      </c>
      <c r="F54" s="17">
        <f ca="1"/>
        <v>1978.31</v>
      </c>
      <c r="G54" s="17">
        <f ca="1"/>
        <v>1958.38</v>
      </c>
      <c r="H54" s="17">
        <f ca="1"/>
        <v>1958.38</v>
      </c>
      <c r="I54" s="17">
        <f ca="1"/>
        <v>1953.24</v>
      </c>
      <c r="J54" s="17">
        <f ca="1"/>
        <v>1965.83</v>
      </c>
      <c r="K54" s="17">
        <f ca="1"/>
        <v>1783.25</v>
      </c>
      <c r="L54" s="17">
        <f ca="1"/>
        <v>1847.69</v>
      </c>
      <c r="M54" s="17">
        <f ca="1"/>
        <v>1867.69</v>
      </c>
      <c r="N54" s="17">
        <f ca="1"/>
        <v>1917.69</v>
      </c>
      <c r="O54" s="17">
        <f ca="1"/>
        <v>1917.19</v>
      </c>
      <c r="P54" s="17">
        <f ca="1"/>
        <v>1915.56</v>
      </c>
      <c r="Q54" s="17">
        <f ca="1"/>
        <v>1915.83</v>
      </c>
      <c r="R54" s="17">
        <f ca="1"/>
        <v>1943.9560000000001</v>
      </c>
      <c r="S54" s="17">
        <f ca="1"/>
        <v>1928.07</v>
      </c>
      <c r="T54" s="17">
        <f ca="1"/>
        <v>1928.07</v>
      </c>
      <c r="U54" s="17">
        <f ca="1"/>
        <v>1928.07</v>
      </c>
      <c r="V54" s="17">
        <f ca="1"/>
        <v>1951.739</v>
      </c>
      <c r="W54" s="17">
        <f ca="1"/>
        <v>1951.739</v>
      </c>
      <c r="X54" s="17">
        <f ca="1"/>
        <v>1951.739</v>
      </c>
    </row>
    <row r="55" spans="1:24" hidden="1" x14ac:dyDescent="0.2">
      <c r="A55" t="str">
        <f ca="1"/>
        <v>Philippines</v>
      </c>
      <c r="B55" t="str">
        <f ca="1"/>
        <v>Existing Capacity</v>
      </c>
      <c r="C55" t="str">
        <f ca="1"/>
        <v>MW</v>
      </c>
      <c r="D55" t="str">
        <f ca="1"/>
        <v>Transformation\Centralized Electricity Generation\Processes\Solar PV</v>
      </c>
      <c r="E55" s="17">
        <f ca="1"/>
        <v>1</v>
      </c>
      <c r="F55" s="17">
        <f ca="1"/>
        <v>1</v>
      </c>
      <c r="G55" s="17">
        <f ca="1"/>
        <v>1</v>
      </c>
      <c r="H55" s="17">
        <f ca="1"/>
        <v>1</v>
      </c>
      <c r="I55" s="17">
        <f ca="1"/>
        <v>1</v>
      </c>
      <c r="J55" s="17">
        <f ca="1"/>
        <v>1</v>
      </c>
      <c r="K55" s="17">
        <f ca="1"/>
        <v>1</v>
      </c>
      <c r="L55" s="17">
        <f ca="1"/>
        <v>1</v>
      </c>
      <c r="M55" s="17">
        <f ca="1"/>
        <v>1</v>
      </c>
      <c r="N55" s="17">
        <f ca="1"/>
        <v>23</v>
      </c>
      <c r="O55" s="17">
        <f ca="1"/>
        <v>164.67000000000002</v>
      </c>
      <c r="P55" s="17">
        <f ca="1"/>
        <v>764.89</v>
      </c>
      <c r="Q55" s="17">
        <f ca="1"/>
        <v>885.40200000000004</v>
      </c>
      <c r="R55" s="17">
        <f ca="1"/>
        <v>896.15499999999997</v>
      </c>
      <c r="S55" s="17">
        <f ca="1"/>
        <v>921.11500000000001</v>
      </c>
      <c r="T55" s="17">
        <f ca="1"/>
        <v>1019.2524000000001</v>
      </c>
      <c r="U55" s="17">
        <f ca="1"/>
        <v>1317</v>
      </c>
      <c r="V55" s="17">
        <f ca="1"/>
        <v>1529.7133999999999</v>
      </c>
      <c r="W55" s="17">
        <f ca="1"/>
        <v>1653.3013999999998</v>
      </c>
      <c r="X55" s="17">
        <f ca="1"/>
        <v>2710.1660000000002</v>
      </c>
    </row>
    <row r="56" spans="1:24" hidden="1" x14ac:dyDescent="0.2">
      <c r="A56" t="str">
        <f ca="1"/>
        <v>Philippines</v>
      </c>
      <c r="B56" t="str">
        <f ca="1"/>
        <v>Existing Capacity</v>
      </c>
      <c r="C56" t="str">
        <f ca="1"/>
        <v>MW</v>
      </c>
      <c r="D56" t="str">
        <f ca="1"/>
        <v>Transformation\Centralized Electricity Generation\Processes\Wind Onshore</v>
      </c>
      <c r="E56" s="17">
        <f ca="1"/>
        <v>25</v>
      </c>
      <c r="F56" s="17">
        <f ca="1"/>
        <v>25</v>
      </c>
      <c r="G56" s="17">
        <f ca="1"/>
        <v>25</v>
      </c>
      <c r="H56" s="17">
        <f ca="1"/>
        <v>33</v>
      </c>
      <c r="I56" s="17">
        <f ca="1"/>
        <v>33</v>
      </c>
      <c r="J56" s="17">
        <f ca="1"/>
        <v>33</v>
      </c>
      <c r="K56" s="17">
        <f ca="1"/>
        <v>33</v>
      </c>
      <c r="L56" s="17">
        <f ca="1"/>
        <v>33</v>
      </c>
      <c r="M56" s="17">
        <f ca="1"/>
        <v>33</v>
      </c>
      <c r="N56" s="17">
        <f ca="1"/>
        <v>282.90000000000003</v>
      </c>
      <c r="O56" s="17">
        <f ca="1"/>
        <v>426.90000000000003</v>
      </c>
      <c r="P56" s="17">
        <f ca="1"/>
        <v>426.90000000000003</v>
      </c>
      <c r="Q56" s="17">
        <f ca="1"/>
        <v>426.90000000000003</v>
      </c>
      <c r="R56" s="17">
        <f ca="1"/>
        <v>426.9</v>
      </c>
      <c r="S56" s="17">
        <f ca="1"/>
        <v>426.9</v>
      </c>
      <c r="T56" s="17">
        <f ca="1"/>
        <v>442.9</v>
      </c>
      <c r="U56" s="17">
        <f ca="1"/>
        <v>426.9</v>
      </c>
      <c r="V56" s="17">
        <f ca="1"/>
        <v>426.9</v>
      </c>
      <c r="W56" s="17">
        <f ca="1"/>
        <v>426.9</v>
      </c>
      <c r="X56" s="17">
        <f ca="1"/>
        <v>426.9</v>
      </c>
    </row>
    <row r="57" spans="1:24" hidden="1" x14ac:dyDescent="0.2">
      <c r="A57" t="str">
        <f ca="1"/>
        <v>Philippines</v>
      </c>
      <c r="B57" t="str">
        <f ca="1"/>
        <v>Existing Capacity</v>
      </c>
      <c r="C57" t="str">
        <f ca="1"/>
        <v>MW</v>
      </c>
      <c r="D57" t="str">
        <f ca="1"/>
        <v>Transformation\Centralized Electricity Generation\Processes\Biomass Other</v>
      </c>
      <c r="E57" s="17">
        <f ca="1"/>
        <v>30</v>
      </c>
      <c r="F57" s="17">
        <f ca="1"/>
        <v>30</v>
      </c>
      <c r="G57" s="17">
        <f ca="1"/>
        <v>30</v>
      </c>
      <c r="H57" s="17">
        <f ca="1"/>
        <v>30</v>
      </c>
      <c r="I57" s="17">
        <f ca="1"/>
        <v>30</v>
      </c>
      <c r="J57" s="17">
        <f ca="1"/>
        <v>38</v>
      </c>
      <c r="K57" s="17">
        <f ca="1"/>
        <v>82.762</v>
      </c>
      <c r="L57" s="17">
        <f ca="1"/>
        <v>118.672</v>
      </c>
      <c r="M57" s="17">
        <f ca="1"/>
        <v>118.672</v>
      </c>
      <c r="N57" s="17">
        <f ca="1"/>
        <v>130.672</v>
      </c>
      <c r="O57" s="17">
        <f ca="1"/>
        <v>220.672</v>
      </c>
      <c r="P57" s="17">
        <f ca="1"/>
        <v>232.672</v>
      </c>
      <c r="Q57" s="17">
        <f ca="1"/>
        <v>223.71600000000001</v>
      </c>
      <c r="R57" s="17">
        <f ca="1"/>
        <v>258.476</v>
      </c>
      <c r="S57" s="17">
        <f ca="1"/>
        <v>363.39099999999996</v>
      </c>
      <c r="T57" s="17">
        <f ca="1"/>
        <v>483.291</v>
      </c>
      <c r="U57" s="17">
        <f ca="1"/>
        <v>489.291</v>
      </c>
      <c r="V57" s="17">
        <f ca="1"/>
        <v>610.8309999999999</v>
      </c>
      <c r="W57" s="17">
        <f ca="1"/>
        <v>585.12599999999998</v>
      </c>
      <c r="X57" s="17">
        <f ca="1"/>
        <v>595.02599999999995</v>
      </c>
    </row>
    <row r="58" spans="1:24" hidden="1" x14ac:dyDescent="0.2">
      <c r="A58" t="s">
        <v>27</v>
      </c>
      <c r="B58" t="s">
        <v>102</v>
      </c>
      <c r="C58" t="str">
        <f>IF(B58="Existing Capacity", "MW", "GWh")</f>
        <v>MW</v>
      </c>
      <c r="D58" t="str" cm="1">
        <f t="array" aca="1" ref="D58:X62" ca="1">_xlfn.LET(_xlpm.country,A58,
_xlpm.table,INDIRECT(IF(B58="Existing Capacity",_xlpm.country,_xlpm.country&amp;"_HP")),
_xlpm.val,_xlfn._xlws.FILTER(_xlfn.HSTACK(leap[Branch Path],leap[[2005]:[2024]]),(leap[Region]=A58)*(leap[Variable]=B58)),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Generation\Processes\Fuel Oil</v>
      </c>
      <c r="E58" s="17">
        <f ca="1"/>
        <v>4640</v>
      </c>
      <c r="F58" s="17">
        <f ca="1"/>
        <v>4405</v>
      </c>
      <c r="G58" s="17">
        <f ca="1"/>
        <v>4420</v>
      </c>
      <c r="H58" s="17">
        <f ca="1"/>
        <v>4440</v>
      </c>
      <c r="I58" s="17">
        <f ca="1"/>
        <v>3950</v>
      </c>
      <c r="J58" s="17">
        <f ca="1"/>
        <v>3148</v>
      </c>
      <c r="K58" s="17">
        <f ca="1"/>
        <v>3148</v>
      </c>
      <c r="L58" s="17">
        <f ca="1"/>
        <v>2555</v>
      </c>
      <c r="M58" s="17">
        <f ca="1"/>
        <v>2555</v>
      </c>
      <c r="N58" s="17">
        <f ca="1"/>
        <v>2555</v>
      </c>
      <c r="O58" s="17">
        <f ca="1"/>
        <v>2555</v>
      </c>
      <c r="P58" s="17">
        <f ca="1"/>
        <v>2555</v>
      </c>
      <c r="Q58" s="17">
        <f ca="1"/>
        <v>2555</v>
      </c>
      <c r="R58" s="17">
        <f ca="1"/>
        <v>2554.6</v>
      </c>
      <c r="S58" s="17">
        <f ca="1"/>
        <v>1363.6</v>
      </c>
      <c r="T58" s="17">
        <f ca="1"/>
        <v>763.6</v>
      </c>
      <c r="U58" s="17">
        <f ca="1"/>
        <v>763.6</v>
      </c>
      <c r="V58" s="17">
        <f ca="1"/>
        <v>763.6</v>
      </c>
      <c r="W58" s="17">
        <f ca="1"/>
        <v>0</v>
      </c>
      <c r="X58" s="17">
        <f ca="1"/>
        <v>0</v>
      </c>
    </row>
    <row r="59" spans="1:24" hidden="1" x14ac:dyDescent="0.2">
      <c r="A59" t="str" cm="1">
        <f t="array" aca="1" ref="A59:A62" ca="1">_xlfn.TOCOL(IF(_xlfn.SEQUENCE(, ROWS(_xlfn.ANCHORARRAY(D58))-1)&lt;=ROWS(_xlfn.ANCHORARRAY(D58))-1,A58,NA()))</f>
        <v>Singapore</v>
      </c>
      <c r="B59" t="str" cm="1">
        <f t="array" aca="1" ref="B59:B62" ca="1">_xlfn.TOCOL(IF(_xlfn.SEQUENCE(, ROWS(_xlfn.ANCHORARRAY(D58))-1)&lt;=ROWS(_xlfn.ANCHORARRAY(D58))-1,B58,NA()))</f>
        <v>Existing Capacity</v>
      </c>
      <c r="C59" t="str" cm="1">
        <f t="array" aca="1" ref="C59:C62" ca="1">_xlfn.TOCOL(IF(_xlfn.SEQUENCE(, ROWS(_xlfn.ANCHORARRAY(D58))-1)&lt;=ROWS(_xlfn.ANCHORARRAY(D58))-1,C58,NA()))</f>
        <v>MW</v>
      </c>
      <c r="D59" t="str">
        <f ca="1"/>
        <v>Transformation\Centralized Electricity Generation\Processes\Gas Turbine</v>
      </c>
      <c r="E59" s="17">
        <f ca="1"/>
        <v>287</v>
      </c>
      <c r="F59" s="17">
        <f ca="1"/>
        <v>305</v>
      </c>
      <c r="G59" s="17">
        <f ca="1"/>
        <v>315</v>
      </c>
      <c r="H59" s="17">
        <f ca="1"/>
        <v>323</v>
      </c>
      <c r="I59" s="17">
        <f ca="1"/>
        <v>408</v>
      </c>
      <c r="J59" s="17">
        <f ca="1"/>
        <v>370</v>
      </c>
      <c r="K59" s="17">
        <f ca="1"/>
        <v>285</v>
      </c>
      <c r="L59" s="17">
        <f ca="1"/>
        <v>180</v>
      </c>
      <c r="M59" s="17">
        <f ca="1"/>
        <v>180</v>
      </c>
      <c r="N59" s="17">
        <f ca="1"/>
        <v>180</v>
      </c>
      <c r="O59" s="17">
        <f ca="1"/>
        <v>180</v>
      </c>
      <c r="P59" s="17">
        <f ca="1"/>
        <v>180</v>
      </c>
      <c r="Q59" s="17">
        <f ca="1"/>
        <v>180</v>
      </c>
      <c r="R59" s="17">
        <f ca="1"/>
        <v>180</v>
      </c>
      <c r="S59" s="17">
        <f ca="1"/>
        <v>180</v>
      </c>
      <c r="T59" s="17">
        <f ca="1"/>
        <v>180</v>
      </c>
      <c r="U59" s="17">
        <f ca="1"/>
        <v>180</v>
      </c>
      <c r="V59" s="17">
        <f ca="1"/>
        <v>180</v>
      </c>
      <c r="W59" s="17">
        <f ca="1"/>
        <v>0</v>
      </c>
      <c r="X59" s="17">
        <f ca="1"/>
        <v>0</v>
      </c>
    </row>
    <row r="60" spans="1:24" hidden="1" x14ac:dyDescent="0.2">
      <c r="A60" t="str">
        <f ca="1"/>
        <v>Singapore</v>
      </c>
      <c r="B60" t="str">
        <f ca="1"/>
        <v>Existing Capacity</v>
      </c>
      <c r="C60" t="str">
        <f ca="1"/>
        <v>MW</v>
      </c>
      <c r="D60" t="str">
        <f ca="1"/>
        <v>Transformation\Centralized Electricity Generation\Processes\Gas Combined Cycle</v>
      </c>
      <c r="E60" s="17">
        <f ca="1"/>
        <v>4534</v>
      </c>
      <c r="F60" s="17">
        <f ca="1"/>
        <v>4534</v>
      </c>
      <c r="G60" s="17">
        <f ca="1"/>
        <v>5024</v>
      </c>
      <c r="H60" s="17">
        <f ca="1"/>
        <v>5035</v>
      </c>
      <c r="I60" s="17">
        <f ca="1"/>
        <v>5414</v>
      </c>
      <c r="J60" s="17">
        <f ca="1"/>
        <v>6154</v>
      </c>
      <c r="K60" s="17">
        <f ca="1"/>
        <v>6223</v>
      </c>
      <c r="L60" s="17">
        <f ca="1"/>
        <v>7818</v>
      </c>
      <c r="M60" s="17">
        <f ca="1"/>
        <v>9430</v>
      </c>
      <c r="N60" s="17">
        <f ca="1"/>
        <v>9892</v>
      </c>
      <c r="O60" s="17">
        <f ca="1"/>
        <v>10356</v>
      </c>
      <c r="P60" s="17">
        <f ca="1"/>
        <v>10356</v>
      </c>
      <c r="Q60" s="17">
        <f ca="1"/>
        <v>10508</v>
      </c>
      <c r="R60" s="17">
        <f ca="1"/>
        <v>10501.3</v>
      </c>
      <c r="S60" s="17">
        <f ca="1"/>
        <v>10491.410000000002</v>
      </c>
      <c r="T60" s="17">
        <f ca="1"/>
        <v>10491.410000000002</v>
      </c>
      <c r="U60" s="17">
        <f ca="1"/>
        <v>10491.410000000002</v>
      </c>
      <c r="V60" s="17">
        <f ca="1"/>
        <v>10491.410000000002</v>
      </c>
      <c r="W60" s="17">
        <f ca="1"/>
        <v>0</v>
      </c>
      <c r="X60" s="17">
        <f ca="1"/>
        <v>0</v>
      </c>
    </row>
    <row r="61" spans="1:24" hidden="1" x14ac:dyDescent="0.2">
      <c r="A61" t="str">
        <f ca="1"/>
        <v>Singapore</v>
      </c>
      <c r="B61" t="str">
        <f ca="1"/>
        <v>Existing Capacity</v>
      </c>
      <c r="C61" t="str">
        <f ca="1"/>
        <v>MW</v>
      </c>
      <c r="D61" t="str">
        <f ca="1"/>
        <v>Transformation\Centralized Electricity Generation\Processes\Solar PV</v>
      </c>
      <c r="E61" s="17">
        <f ca="1"/>
        <v>0</v>
      </c>
      <c r="F61" s="17">
        <f ca="1"/>
        <v>0</v>
      </c>
      <c r="G61" s="17">
        <f ca="1"/>
        <v>0</v>
      </c>
      <c r="H61" s="17">
        <f ca="1"/>
        <v>0.3</v>
      </c>
      <c r="I61" s="17">
        <f ca="1"/>
        <v>1.5</v>
      </c>
      <c r="J61" s="17">
        <f ca="1"/>
        <v>2.9</v>
      </c>
      <c r="K61" s="17">
        <f ca="1"/>
        <v>4.6000000000000005</v>
      </c>
      <c r="L61" s="17">
        <f ca="1"/>
        <v>7.7</v>
      </c>
      <c r="M61" s="17">
        <f ca="1"/>
        <v>11.8</v>
      </c>
      <c r="N61" s="17">
        <f ca="1"/>
        <v>25.3</v>
      </c>
      <c r="O61" s="17">
        <f ca="1"/>
        <v>45.7</v>
      </c>
      <c r="P61" s="17">
        <f ca="1"/>
        <v>96.600000000000009</v>
      </c>
      <c r="Q61" s="17">
        <f ca="1"/>
        <v>151.1</v>
      </c>
      <c r="R61" s="17">
        <f ca="1"/>
        <v>209.8</v>
      </c>
      <c r="S61" s="17">
        <f ca="1"/>
        <v>352.7</v>
      </c>
      <c r="T61" s="17">
        <f ca="1"/>
        <v>431.2</v>
      </c>
      <c r="U61" s="17">
        <f ca="1"/>
        <v>631.79999999999995</v>
      </c>
      <c r="V61" s="17">
        <f ca="1"/>
        <v>516</v>
      </c>
      <c r="W61" s="17">
        <f ca="1"/>
        <v>0</v>
      </c>
      <c r="X61" s="17">
        <f ca="1"/>
        <v>0</v>
      </c>
    </row>
    <row r="62" spans="1:24" hidden="1" x14ac:dyDescent="0.2">
      <c r="A62" t="str">
        <f ca="1"/>
        <v>Singapore</v>
      </c>
      <c r="B62" t="str">
        <f ca="1"/>
        <v>Existing Capacity</v>
      </c>
      <c r="C62" t="str">
        <f ca="1"/>
        <v>MW</v>
      </c>
      <c r="D62" t="str">
        <f ca="1"/>
        <v>Transformation\Centralized Electricity Generation\Processes\Waste</v>
      </c>
      <c r="E62" s="17">
        <f ca="1"/>
        <v>305.8</v>
      </c>
      <c r="F62" s="17">
        <f ca="1"/>
        <v>305.8</v>
      </c>
      <c r="G62" s="17">
        <f ca="1"/>
        <v>305.8</v>
      </c>
      <c r="H62" s="17">
        <f ca="1"/>
        <v>305.8</v>
      </c>
      <c r="I62" s="17">
        <f ca="1"/>
        <v>256.8</v>
      </c>
      <c r="J62" s="17">
        <f ca="1"/>
        <v>256.8</v>
      </c>
      <c r="K62" s="17">
        <f ca="1"/>
        <v>256.8</v>
      </c>
      <c r="L62" s="17">
        <f ca="1"/>
        <v>256.8</v>
      </c>
      <c r="M62" s="17">
        <f ca="1"/>
        <v>256.8</v>
      </c>
      <c r="N62" s="17">
        <f ca="1"/>
        <v>256.8</v>
      </c>
      <c r="O62" s="17">
        <f ca="1"/>
        <v>256.8</v>
      </c>
      <c r="P62" s="17">
        <f ca="1"/>
        <v>256.8</v>
      </c>
      <c r="Q62" s="17">
        <f ca="1"/>
        <v>256.8</v>
      </c>
      <c r="R62" s="17">
        <f ca="1"/>
        <v>256.8</v>
      </c>
      <c r="S62" s="17">
        <f ca="1"/>
        <v>256.8</v>
      </c>
      <c r="T62" s="17">
        <f ca="1"/>
        <v>256.8</v>
      </c>
      <c r="U62" s="17">
        <f ca="1"/>
        <v>256.8</v>
      </c>
      <c r="V62" s="17">
        <f ca="1"/>
        <v>393</v>
      </c>
      <c r="W62" s="17">
        <f ca="1"/>
        <v>0</v>
      </c>
      <c r="X62" s="17">
        <f ca="1"/>
        <v>0</v>
      </c>
    </row>
    <row r="63" spans="1:24" hidden="1" x14ac:dyDescent="0.2">
      <c r="A63" t="s">
        <v>28</v>
      </c>
      <c r="B63" t="s">
        <v>102</v>
      </c>
      <c r="C63" t="str">
        <f>IF(B63="Existing Capacity", "MW", "GWh")</f>
        <v>MW</v>
      </c>
      <c r="D63" t="str" cm="1">
        <f t="array" aca="1" ref="D63:X75" ca="1">_xlfn.LET(_xlpm.country,A63,
_xlpm.table,INDIRECT(IF(B63="Existing Capacity",_xlpm.country,_xlpm.country&amp;"_HP")),
_xlpm.val,_xlfn._xlws.FILTER(_xlfn.HSTACK(leap[Branch Path],leap[[2005]:[2024]]),(leap[Region]=A63)*(leap[Variable]=B63)),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63" s="17">
        <f ca="1"/>
        <v>3347.28</v>
      </c>
      <c r="F63" s="17">
        <f ca="1"/>
        <v>3666.17</v>
      </c>
      <c r="G63" s="17">
        <f ca="1"/>
        <v>5332</v>
      </c>
      <c r="H63" s="17">
        <f ca="1"/>
        <v>5332</v>
      </c>
      <c r="I63" s="17">
        <f ca="1"/>
        <v>5423.05</v>
      </c>
      <c r="J63" s="17">
        <f ca="1"/>
        <v>5502.04</v>
      </c>
      <c r="K63" s="17">
        <f ca="1"/>
        <v>5502.04</v>
      </c>
      <c r="L63" s="17">
        <f ca="1"/>
        <v>4564</v>
      </c>
      <c r="M63" s="17">
        <f ca="1"/>
        <v>4564</v>
      </c>
      <c r="N63" s="17">
        <f ca="1"/>
        <v>5072</v>
      </c>
      <c r="O63" s="17">
        <f ca="1"/>
        <v>5559</v>
      </c>
      <c r="P63" s="17">
        <f ca="1"/>
        <v>6060</v>
      </c>
      <c r="Q63" s="17">
        <f ca="1"/>
        <v>6060</v>
      </c>
      <c r="R63" s="17">
        <f ca="1"/>
        <v>6074</v>
      </c>
      <c r="S63" s="17">
        <f ca="1"/>
        <v>6114</v>
      </c>
      <c r="T63" s="17">
        <f ca="1"/>
        <v>6077</v>
      </c>
      <c r="U63" s="17">
        <f ca="1"/>
        <v>6067.5</v>
      </c>
      <c r="V63" s="17">
        <f ca="1"/>
        <v>6067.5</v>
      </c>
      <c r="W63" s="17">
        <f ca="1"/>
        <v>6140</v>
      </c>
      <c r="X63" s="17">
        <f ca="1"/>
        <v>6140</v>
      </c>
    </row>
    <row r="64" spans="1:24" hidden="1" x14ac:dyDescent="0.2">
      <c r="A64" t="str" cm="1">
        <f t="array" aca="1" ref="A64:A75" ca="1">_xlfn.TOCOL(IF(_xlfn.SEQUENCE(, ROWS(_xlfn.ANCHORARRAY(D63))-1)&lt;=ROWS(_xlfn.ANCHORARRAY(D63))-1,A63,NA()))</f>
        <v>Thailand</v>
      </c>
      <c r="B64" t="str" cm="1">
        <f t="array" aca="1" ref="B64:B75" ca="1">_xlfn.TOCOL(IF(_xlfn.SEQUENCE(, ROWS(_xlfn.ANCHORARRAY(D63))-1)&lt;=ROWS(_xlfn.ANCHORARRAY(D63))-1,B63,NA()))</f>
        <v>Existing Capacity</v>
      </c>
      <c r="C64" t="str" cm="1">
        <f t="array" aca="1" ref="C64:C75" ca="1">_xlfn.TOCOL(IF(_xlfn.SEQUENCE(, ROWS(_xlfn.ANCHORARRAY(D63))-1)&lt;=ROWS(_xlfn.ANCHORARRAY(D63))-1,C63,NA()))</f>
        <v>MW</v>
      </c>
      <c r="D64" t="str">
        <f ca="1"/>
        <v>Transformation\Centralized Electricity Generation\Processes\Diesel</v>
      </c>
      <c r="E64" s="17">
        <f ca="1"/>
        <v>1580.71</v>
      </c>
      <c r="F64" s="17">
        <f ca="1"/>
        <v>1527.58</v>
      </c>
      <c r="G64" s="17">
        <f ca="1"/>
        <v>709.3</v>
      </c>
      <c r="H64" s="17">
        <f ca="1"/>
        <v>319.19</v>
      </c>
      <c r="I64" s="17">
        <f ca="1"/>
        <v>132.19</v>
      </c>
      <c r="J64" s="17">
        <f ca="1"/>
        <v>209.1</v>
      </c>
      <c r="K64" s="17">
        <f ca="1"/>
        <v>395.6</v>
      </c>
      <c r="L64" s="17">
        <f ca="1"/>
        <v>350</v>
      </c>
      <c r="M64" s="17">
        <f ca="1"/>
        <v>350</v>
      </c>
      <c r="N64" s="17">
        <f ca="1"/>
        <v>370</v>
      </c>
      <c r="O64" s="17">
        <f ca="1"/>
        <v>370</v>
      </c>
      <c r="P64" s="17">
        <f ca="1"/>
        <v>370</v>
      </c>
      <c r="Q64" s="17">
        <f ca="1"/>
        <v>370</v>
      </c>
      <c r="R64" s="17">
        <f ca="1"/>
        <v>370</v>
      </c>
      <c r="S64" s="17">
        <f ca="1"/>
        <v>369</v>
      </c>
      <c r="T64" s="17">
        <f ca="1"/>
        <v>54.66</v>
      </c>
      <c r="U64" s="17">
        <f ca="1"/>
        <v>58.84</v>
      </c>
      <c r="V64" s="17">
        <f ca="1"/>
        <v>58.84</v>
      </c>
      <c r="W64" s="17">
        <f ca="1"/>
        <v>0</v>
      </c>
      <c r="X64" s="17">
        <f ca="1"/>
        <v>0</v>
      </c>
    </row>
    <row r="65" spans="1:24" hidden="1" x14ac:dyDescent="0.2">
      <c r="A65" t="str">
        <f ca="1"/>
        <v>Thailand</v>
      </c>
      <c r="B65" t="str">
        <f ca="1"/>
        <v>Existing Capacity</v>
      </c>
      <c r="C65" t="str">
        <f ca="1"/>
        <v>MW</v>
      </c>
      <c r="D65" t="str">
        <f ca="1"/>
        <v>Transformation\Centralized Electricity Generation\Processes\Fuel Oil</v>
      </c>
      <c r="E65" s="17">
        <f ca="1"/>
        <v>0</v>
      </c>
      <c r="F65" s="17">
        <f ca="1"/>
        <v>0</v>
      </c>
      <c r="G65" s="17">
        <f ca="1"/>
        <v>0</v>
      </c>
      <c r="H65" s="17">
        <f ca="1"/>
        <v>0</v>
      </c>
      <c r="I65" s="17">
        <f ca="1"/>
        <v>0</v>
      </c>
      <c r="J65" s="17">
        <f ca="1"/>
        <v>0</v>
      </c>
      <c r="K65" s="17">
        <f ca="1"/>
        <v>0</v>
      </c>
      <c r="L65" s="17">
        <f ca="1"/>
        <v>0</v>
      </c>
      <c r="M65" s="17">
        <f ca="1"/>
        <v>0</v>
      </c>
      <c r="N65" s="17">
        <f ca="1"/>
        <v>0</v>
      </c>
      <c r="O65" s="17">
        <f ca="1"/>
        <v>0</v>
      </c>
      <c r="P65" s="17">
        <f ca="1"/>
        <v>0</v>
      </c>
      <c r="Q65" s="17">
        <f ca="1"/>
        <v>0</v>
      </c>
      <c r="R65" s="17">
        <f ca="1"/>
        <v>0</v>
      </c>
      <c r="S65" s="17">
        <f ca="1"/>
        <v>0</v>
      </c>
      <c r="T65" s="17">
        <f ca="1"/>
        <v>315</v>
      </c>
      <c r="U65" s="17">
        <f ca="1"/>
        <v>315</v>
      </c>
      <c r="V65" s="17">
        <f ca="1"/>
        <v>315</v>
      </c>
      <c r="W65" s="17">
        <f ca="1"/>
        <v>0</v>
      </c>
      <c r="X65" s="17">
        <f ca="1"/>
        <v>0</v>
      </c>
    </row>
    <row r="66" spans="1:24" hidden="1" x14ac:dyDescent="0.2">
      <c r="A66" t="str">
        <f ca="1"/>
        <v>Thailand</v>
      </c>
      <c r="B66" t="str">
        <f ca="1"/>
        <v>Existing Capacity</v>
      </c>
      <c r="C66" t="str">
        <f ca="1"/>
        <v>MW</v>
      </c>
      <c r="D66" t="str">
        <f ca="1"/>
        <v>Transformation\Centralized Electricity Generation\Processes\Gas Combined Cycle</v>
      </c>
      <c r="E66" s="17">
        <f ca="1"/>
        <v>17865.009999999998</v>
      </c>
      <c r="F66" s="17">
        <f ca="1"/>
        <v>17845.25</v>
      </c>
      <c r="G66" s="17">
        <f ca="1"/>
        <v>18768.7</v>
      </c>
      <c r="H66" s="17">
        <f ca="1"/>
        <v>20949.189999999999</v>
      </c>
      <c r="I66" s="17">
        <f ca="1"/>
        <v>21550.76</v>
      </c>
      <c r="J66" s="17">
        <f ca="1"/>
        <v>22656.87</v>
      </c>
      <c r="K66" s="17">
        <f ca="1"/>
        <v>21987</v>
      </c>
      <c r="L66" s="17">
        <f ca="1"/>
        <v>21373</v>
      </c>
      <c r="M66" s="17">
        <f ca="1"/>
        <v>24709</v>
      </c>
      <c r="N66" s="17">
        <f ca="1"/>
        <v>24897</v>
      </c>
      <c r="O66" s="17">
        <f ca="1"/>
        <v>25847</v>
      </c>
      <c r="P66" s="17">
        <f ca="1"/>
        <v>27704</v>
      </c>
      <c r="Q66" s="17">
        <f ca="1"/>
        <v>28406</v>
      </c>
      <c r="R66" s="17">
        <f ca="1"/>
        <v>28718</v>
      </c>
      <c r="S66" s="17">
        <f ca="1"/>
        <v>27507.7</v>
      </c>
      <c r="T66" s="17">
        <f ca="1"/>
        <v>27960.99</v>
      </c>
      <c r="U66" s="17">
        <f ca="1"/>
        <v>29120.99</v>
      </c>
      <c r="V66" s="17">
        <f ca="1"/>
        <v>30925</v>
      </c>
      <c r="W66" s="17">
        <f ca="1"/>
        <v>36110</v>
      </c>
      <c r="X66" s="17">
        <f ca="1"/>
        <v>38060</v>
      </c>
    </row>
    <row r="67" spans="1:24" hidden="1" x14ac:dyDescent="0.2">
      <c r="A67" t="str">
        <f ca="1"/>
        <v>Thailand</v>
      </c>
      <c r="B67" t="str">
        <f ca="1"/>
        <v>Existing Capacity</v>
      </c>
      <c r="C67" t="str">
        <f ca="1"/>
        <v>MW</v>
      </c>
      <c r="D67" t="str">
        <f ca="1"/>
        <v>Transformation\Centralized Electricity Generation\Processes\Large Hydro</v>
      </c>
      <c r="E67" s="17">
        <f ca="1"/>
        <v>2976</v>
      </c>
      <c r="F67" s="17">
        <f ca="1"/>
        <v>2976</v>
      </c>
      <c r="G67" s="17">
        <f ca="1"/>
        <v>2976</v>
      </c>
      <c r="H67" s="17">
        <f ca="1"/>
        <v>2981</v>
      </c>
      <c r="I67" s="17">
        <f ca="1"/>
        <v>2988</v>
      </c>
      <c r="J67" s="17">
        <f ca="1"/>
        <v>2988</v>
      </c>
      <c r="K67" s="17">
        <f ca="1"/>
        <v>3000</v>
      </c>
      <c r="L67" s="17">
        <f ca="1"/>
        <v>3484</v>
      </c>
      <c r="M67" s="17">
        <f ca="1"/>
        <v>3484</v>
      </c>
      <c r="N67" s="17">
        <f ca="1"/>
        <v>3527</v>
      </c>
      <c r="O67" s="17">
        <f ca="1"/>
        <v>3568</v>
      </c>
      <c r="P67" s="17">
        <f ca="1"/>
        <v>3549</v>
      </c>
      <c r="Q67" s="17">
        <f ca="1"/>
        <v>3569</v>
      </c>
      <c r="R67" s="17">
        <f ca="1"/>
        <v>3591</v>
      </c>
      <c r="S67" s="17">
        <f ca="1"/>
        <v>8042</v>
      </c>
      <c r="T67" s="17">
        <f ca="1"/>
        <v>7048.61</v>
      </c>
      <c r="U67" s="17">
        <f ca="1"/>
        <v>7051.77</v>
      </c>
      <c r="V67" s="17">
        <f ca="1"/>
        <v>7580.03</v>
      </c>
      <c r="W67" s="17">
        <f ca="1"/>
        <v>3130</v>
      </c>
      <c r="X67" s="17">
        <f ca="1"/>
        <v>3130</v>
      </c>
    </row>
    <row r="68" spans="1:24" hidden="1" x14ac:dyDescent="0.2">
      <c r="A68" t="str">
        <f ca="1"/>
        <v>Thailand</v>
      </c>
      <c r="B68" t="str">
        <f ca="1"/>
        <v>Existing Capacity</v>
      </c>
      <c r="C68" t="str">
        <f ca="1"/>
        <v>MW</v>
      </c>
      <c r="D68" t="str">
        <f ca="1"/>
        <v>Transformation\Centralized Electricity Generation\Processes\Geothermal Flash</v>
      </c>
      <c r="E68" s="17">
        <f ca="1"/>
        <v>0.3</v>
      </c>
      <c r="F68" s="17">
        <f ca="1"/>
        <v>0.3</v>
      </c>
      <c r="G68" s="17">
        <f ca="1"/>
        <v>0.3</v>
      </c>
      <c r="H68" s="17">
        <f ca="1"/>
        <v>0.3</v>
      </c>
      <c r="I68" s="17">
        <f ca="1"/>
        <v>0.3</v>
      </c>
      <c r="J68" s="17">
        <f ca="1"/>
        <v>0.3</v>
      </c>
      <c r="K68" s="17">
        <f ca="1"/>
        <v>0.3</v>
      </c>
      <c r="L68" s="17">
        <f ca="1"/>
        <v>0.3</v>
      </c>
      <c r="M68" s="17">
        <f ca="1"/>
        <v>0.3</v>
      </c>
      <c r="N68" s="17">
        <f ca="1"/>
        <v>0.3</v>
      </c>
      <c r="O68" s="17">
        <f ca="1"/>
        <v>0.3</v>
      </c>
      <c r="P68" s="17">
        <f ca="1"/>
        <v>0.3</v>
      </c>
      <c r="Q68" s="17">
        <f ca="1"/>
        <v>0.3</v>
      </c>
      <c r="R68" s="17">
        <f ca="1"/>
        <v>0.3</v>
      </c>
      <c r="S68" s="17">
        <f ca="1"/>
        <v>0</v>
      </c>
      <c r="T68" s="17">
        <f ca="1"/>
        <v>0</v>
      </c>
      <c r="U68" s="17">
        <f ca="1"/>
        <v>0.3</v>
      </c>
      <c r="V68" s="17">
        <f ca="1"/>
        <v>0.3</v>
      </c>
      <c r="W68" s="17">
        <f ca="1"/>
        <v>0</v>
      </c>
      <c r="X68" s="17">
        <f ca="1"/>
        <v>0</v>
      </c>
    </row>
    <row r="69" spans="1:24" hidden="1" x14ac:dyDescent="0.2">
      <c r="A69" t="str">
        <f ca="1"/>
        <v>Thailand</v>
      </c>
      <c r="B69" t="str">
        <f ca="1"/>
        <v>Existing Capacity</v>
      </c>
      <c r="C69" t="str">
        <f ca="1"/>
        <v>MW</v>
      </c>
      <c r="D69" t="str">
        <f ca="1"/>
        <v>Transformation\Centralized Electricity Generation\Processes\Solar PV</v>
      </c>
      <c r="E69" s="17">
        <f ca="1"/>
        <v>0</v>
      </c>
      <c r="F69" s="17">
        <f ca="1"/>
        <v>0</v>
      </c>
      <c r="G69" s="17">
        <f ca="1"/>
        <v>0</v>
      </c>
      <c r="H69" s="17">
        <f ca="1"/>
        <v>0</v>
      </c>
      <c r="I69" s="17">
        <f ca="1"/>
        <v>9.1999999999999993</v>
      </c>
      <c r="J69" s="17">
        <f ca="1"/>
        <v>26</v>
      </c>
      <c r="K69" s="17">
        <f ca="1"/>
        <v>50</v>
      </c>
      <c r="L69" s="17">
        <f ca="1"/>
        <v>87</v>
      </c>
      <c r="M69" s="17">
        <f ca="1"/>
        <v>177</v>
      </c>
      <c r="N69" s="17">
        <f ca="1"/>
        <v>1086</v>
      </c>
      <c r="O69" s="17">
        <f ca="1"/>
        <v>1367</v>
      </c>
      <c r="P69" s="17">
        <f ca="1"/>
        <v>2501</v>
      </c>
      <c r="Q69" s="17">
        <f ca="1"/>
        <v>2573</v>
      </c>
      <c r="R69" s="17">
        <f ca="1"/>
        <v>2849</v>
      </c>
      <c r="S69" s="17">
        <f ca="1"/>
        <v>2853.7</v>
      </c>
      <c r="T69" s="17">
        <f ca="1"/>
        <v>2860.48</v>
      </c>
      <c r="U69" s="17">
        <f ca="1"/>
        <v>2904.31</v>
      </c>
      <c r="V69" s="17">
        <f ca="1"/>
        <v>2908.53</v>
      </c>
      <c r="W69" s="17">
        <f ca="1"/>
        <v>3300</v>
      </c>
      <c r="X69" s="17">
        <f ca="1"/>
        <v>3380</v>
      </c>
    </row>
    <row r="70" spans="1:24" hidden="1" x14ac:dyDescent="0.2">
      <c r="A70" t="str">
        <f ca="1"/>
        <v>Thailand</v>
      </c>
      <c r="B70" t="str">
        <f ca="1"/>
        <v>Existing Capacity</v>
      </c>
      <c r="C70" t="str">
        <f ca="1"/>
        <v>MW</v>
      </c>
      <c r="D70" t="str">
        <f ca="1"/>
        <v>Transformation\Centralized Electricity Generation\Processes\Wind Onshore</v>
      </c>
      <c r="E70" s="17">
        <f ca="1"/>
        <v>0</v>
      </c>
      <c r="F70" s="17">
        <f ca="1"/>
        <v>0</v>
      </c>
      <c r="G70" s="17">
        <f ca="1"/>
        <v>0</v>
      </c>
      <c r="H70" s="17">
        <f ca="1"/>
        <v>0</v>
      </c>
      <c r="I70" s="17">
        <f ca="1"/>
        <v>2.5</v>
      </c>
      <c r="J70" s="17">
        <f ca="1"/>
        <v>3.3</v>
      </c>
      <c r="K70" s="17">
        <f ca="1"/>
        <v>0</v>
      </c>
      <c r="L70" s="17">
        <f ca="1"/>
        <v>93</v>
      </c>
      <c r="M70" s="17">
        <f ca="1"/>
        <v>183</v>
      </c>
      <c r="N70" s="17">
        <f ca="1"/>
        <v>191</v>
      </c>
      <c r="O70" s="17">
        <f ca="1"/>
        <v>202</v>
      </c>
      <c r="P70" s="17">
        <f ca="1"/>
        <v>462</v>
      </c>
      <c r="Q70" s="17">
        <f ca="1"/>
        <v>588</v>
      </c>
      <c r="R70" s="17">
        <f ca="1"/>
        <v>1082</v>
      </c>
      <c r="S70" s="17">
        <f ca="1"/>
        <v>1486</v>
      </c>
      <c r="T70" s="17">
        <f ca="1"/>
        <v>1488.06</v>
      </c>
      <c r="U70" s="17">
        <f ca="1"/>
        <v>1504.06</v>
      </c>
      <c r="V70" s="17">
        <f ca="1"/>
        <v>1504.01</v>
      </c>
      <c r="W70" s="17">
        <f ca="1"/>
        <v>1540</v>
      </c>
      <c r="X70" s="17">
        <f ca="1"/>
        <v>1540</v>
      </c>
    </row>
    <row r="71" spans="1:24" hidden="1" x14ac:dyDescent="0.2">
      <c r="A71" t="str">
        <f ca="1"/>
        <v>Thailand</v>
      </c>
      <c r="B71" t="str">
        <f ca="1"/>
        <v>Existing Capacity</v>
      </c>
      <c r="C71" t="str">
        <f ca="1"/>
        <v>MW</v>
      </c>
      <c r="D71" t="str">
        <f ca="1"/>
        <v>Transformation\Centralized Electricity Generation\Processes\Biomass Other</v>
      </c>
      <c r="E71" s="17">
        <f ca="1"/>
        <v>0</v>
      </c>
      <c r="F71" s="17">
        <f ca="1"/>
        <v>0</v>
      </c>
      <c r="G71" s="17">
        <f ca="1"/>
        <v>0</v>
      </c>
      <c r="H71" s="17">
        <f ca="1"/>
        <v>0</v>
      </c>
      <c r="I71" s="17">
        <f ca="1"/>
        <v>0</v>
      </c>
      <c r="J71" s="17">
        <f ca="1"/>
        <v>0</v>
      </c>
      <c r="K71" s="17">
        <f ca="1"/>
        <v>5</v>
      </c>
      <c r="L71" s="17">
        <f ca="1"/>
        <v>72</v>
      </c>
      <c r="M71" s="17">
        <f ca="1"/>
        <v>151</v>
      </c>
      <c r="N71" s="17">
        <f ca="1"/>
        <v>1102</v>
      </c>
      <c r="O71" s="17">
        <f ca="1"/>
        <v>1272</v>
      </c>
      <c r="P71" s="17">
        <f ca="1"/>
        <v>1429</v>
      </c>
      <c r="Q71" s="17">
        <f ca="1"/>
        <v>1588</v>
      </c>
      <c r="R71" s="17">
        <f ca="1"/>
        <v>2056</v>
      </c>
      <c r="S71" s="17">
        <f ca="1"/>
        <v>2120</v>
      </c>
      <c r="T71" s="17">
        <f ca="1"/>
        <v>0</v>
      </c>
      <c r="U71" s="17">
        <f ca="1"/>
        <v>0</v>
      </c>
      <c r="V71" s="17">
        <f ca="1"/>
        <v>0</v>
      </c>
      <c r="W71" s="17">
        <f ca="1"/>
        <v>0</v>
      </c>
      <c r="X71" s="17">
        <f ca="1"/>
        <v>0</v>
      </c>
    </row>
    <row r="72" spans="1:24" hidden="1" x14ac:dyDescent="0.2">
      <c r="A72" t="str">
        <f ca="1"/>
        <v>Thailand</v>
      </c>
      <c r="B72" t="str">
        <f ca="1"/>
        <v>Existing Capacity</v>
      </c>
      <c r="C72" t="str">
        <f ca="1"/>
        <v>MW</v>
      </c>
      <c r="D72" t="str">
        <f ca="1"/>
        <v>Transformation\Centralized Electricity Generation\Processes\Biomass Gasification</v>
      </c>
      <c r="E72" s="17">
        <f ca="1"/>
        <v>0</v>
      </c>
      <c r="F72" s="17">
        <f ca="1"/>
        <v>0</v>
      </c>
      <c r="G72" s="17">
        <f ca="1"/>
        <v>0</v>
      </c>
      <c r="H72" s="17">
        <f ca="1"/>
        <v>0</v>
      </c>
      <c r="I72" s="17">
        <f ca="1"/>
        <v>0</v>
      </c>
      <c r="J72" s="17">
        <f ca="1"/>
        <v>0</v>
      </c>
      <c r="K72" s="17">
        <f ca="1"/>
        <v>0</v>
      </c>
      <c r="L72" s="17">
        <f ca="1"/>
        <v>0</v>
      </c>
      <c r="M72" s="17">
        <f ca="1"/>
        <v>0</v>
      </c>
      <c r="N72" s="17">
        <f ca="1"/>
        <v>0</v>
      </c>
      <c r="O72" s="17">
        <f ca="1"/>
        <v>0</v>
      </c>
      <c r="P72" s="17">
        <f ca="1"/>
        <v>0</v>
      </c>
      <c r="Q72" s="17">
        <f ca="1"/>
        <v>0</v>
      </c>
      <c r="R72" s="17">
        <f ca="1"/>
        <v>0</v>
      </c>
      <c r="S72" s="17">
        <f ca="1"/>
        <v>0</v>
      </c>
      <c r="T72" s="17">
        <f ca="1"/>
        <v>1930.58</v>
      </c>
      <c r="U72" s="17">
        <f ca="1"/>
        <v>1959.18</v>
      </c>
      <c r="V72" s="17">
        <f ca="1"/>
        <v>2024.55</v>
      </c>
      <c r="W72" s="17">
        <f ca="1"/>
        <v>4430</v>
      </c>
      <c r="X72" s="17">
        <f ca="1"/>
        <v>4350</v>
      </c>
    </row>
    <row r="73" spans="1:24" hidden="1" x14ac:dyDescent="0.2">
      <c r="A73" t="str">
        <f ca="1"/>
        <v>Thailand</v>
      </c>
      <c r="B73" t="str">
        <f ca="1"/>
        <v>Existing Capacity</v>
      </c>
      <c r="C73" t="str">
        <f ca="1"/>
        <v>MW</v>
      </c>
      <c r="D73" t="str">
        <f ca="1"/>
        <v>Transformation\Centralized Electricity Generation\Processes\Biogas</v>
      </c>
      <c r="E73" s="17">
        <f ca="1"/>
        <v>0</v>
      </c>
      <c r="F73" s="17">
        <f ca="1"/>
        <v>0</v>
      </c>
      <c r="G73" s="17">
        <f ca="1"/>
        <v>0</v>
      </c>
      <c r="H73" s="17">
        <f ca="1"/>
        <v>0</v>
      </c>
      <c r="I73" s="17">
        <f ca="1"/>
        <v>0</v>
      </c>
      <c r="J73" s="17">
        <f ca="1"/>
        <v>0</v>
      </c>
      <c r="K73" s="17">
        <f ca="1"/>
        <v>0</v>
      </c>
      <c r="L73" s="17">
        <f ca="1"/>
        <v>344</v>
      </c>
      <c r="M73" s="17">
        <f ca="1"/>
        <v>353</v>
      </c>
      <c r="N73" s="17">
        <f ca="1"/>
        <v>353</v>
      </c>
      <c r="O73" s="17">
        <f ca="1"/>
        <v>353</v>
      </c>
      <c r="P73" s="17">
        <f ca="1"/>
        <v>353</v>
      </c>
      <c r="Q73" s="17">
        <f ca="1"/>
        <v>353</v>
      </c>
      <c r="R73" s="17">
        <f ca="1"/>
        <v>0</v>
      </c>
      <c r="S73" s="17">
        <f ca="1"/>
        <v>0</v>
      </c>
      <c r="T73" s="17">
        <f ca="1"/>
        <v>348.73</v>
      </c>
      <c r="U73" s="17">
        <f ca="1"/>
        <v>348.73</v>
      </c>
      <c r="V73" s="17">
        <f ca="1"/>
        <v>310.19</v>
      </c>
      <c r="W73" s="17">
        <f ca="1"/>
        <v>0</v>
      </c>
      <c r="X73" s="17">
        <f ca="1"/>
        <v>0</v>
      </c>
    </row>
    <row r="74" spans="1:24" hidden="1" x14ac:dyDescent="0.2">
      <c r="A74" t="str">
        <f ca="1"/>
        <v>Thailand</v>
      </c>
      <c r="B74" t="str">
        <f ca="1"/>
        <v>Existing Capacity</v>
      </c>
      <c r="C74" t="str">
        <f ca="1"/>
        <v>MW</v>
      </c>
      <c r="D74" t="str">
        <f ca="1"/>
        <v>Transformation\Centralized Electricity Generation\Processes\Waste</v>
      </c>
      <c r="E74" s="17">
        <f ca="1"/>
        <v>0</v>
      </c>
      <c r="F74" s="17">
        <f ca="1"/>
        <v>0</v>
      </c>
      <c r="G74" s="17">
        <f ca="1"/>
        <v>0</v>
      </c>
      <c r="H74" s="17">
        <f ca="1"/>
        <v>0</v>
      </c>
      <c r="I74" s="17">
        <f ca="1"/>
        <v>0</v>
      </c>
      <c r="J74" s="17">
        <f ca="1"/>
        <v>0</v>
      </c>
      <c r="K74" s="17">
        <f ca="1"/>
        <v>0</v>
      </c>
      <c r="L74" s="17">
        <f ca="1"/>
        <v>0</v>
      </c>
      <c r="M74" s="17">
        <f ca="1"/>
        <v>0</v>
      </c>
      <c r="N74" s="17">
        <f ca="1"/>
        <v>0</v>
      </c>
      <c r="O74" s="17">
        <f ca="1"/>
        <v>0</v>
      </c>
      <c r="P74" s="17">
        <f ca="1"/>
        <v>0</v>
      </c>
      <c r="Q74" s="17">
        <f ca="1"/>
        <v>0</v>
      </c>
      <c r="R74" s="17">
        <f ca="1"/>
        <v>0</v>
      </c>
      <c r="S74" s="17">
        <f ca="1"/>
        <v>0</v>
      </c>
      <c r="T74" s="17">
        <f ca="1"/>
        <v>634.13345599999934</v>
      </c>
      <c r="U74" s="17">
        <f ca="1"/>
        <v>650.12629775000437</v>
      </c>
      <c r="V74" s="17">
        <f ca="1"/>
        <v>657.64957119998815</v>
      </c>
      <c r="W74" s="17">
        <f ca="1"/>
        <v>0</v>
      </c>
      <c r="X74" s="17">
        <f ca="1"/>
        <v>0</v>
      </c>
    </row>
    <row r="75" spans="1:24" hidden="1" x14ac:dyDescent="0.2">
      <c r="A75" t="str">
        <f ca="1"/>
        <v>Thailand</v>
      </c>
      <c r="B75" t="str">
        <f ca="1"/>
        <v>Existing Capacity</v>
      </c>
      <c r="C75" t="str">
        <f ca="1"/>
        <v>MW</v>
      </c>
      <c r="D75" t="str">
        <f ca="1"/>
        <v>Transformation\Centralized Electricity Generation\Processes\Pumped Hydro</v>
      </c>
      <c r="E75" s="17">
        <f ca="1"/>
        <v>0</v>
      </c>
      <c r="F75" s="17">
        <f ca="1"/>
        <v>0</v>
      </c>
      <c r="G75" s="17">
        <f ca="1"/>
        <v>0</v>
      </c>
      <c r="H75" s="17">
        <f ca="1"/>
        <v>0</v>
      </c>
      <c r="I75" s="17">
        <f ca="1"/>
        <v>0</v>
      </c>
      <c r="J75" s="17">
        <f ca="1"/>
        <v>0</v>
      </c>
      <c r="K75" s="17">
        <f ca="1"/>
        <v>0</v>
      </c>
      <c r="L75" s="17">
        <f ca="1"/>
        <v>0</v>
      </c>
      <c r="M75" s="17">
        <f ca="1"/>
        <v>0</v>
      </c>
      <c r="N75" s="17">
        <f ca="1"/>
        <v>0</v>
      </c>
      <c r="O75" s="17">
        <f ca="1"/>
        <v>0</v>
      </c>
      <c r="P75" s="17">
        <f ca="1"/>
        <v>0</v>
      </c>
      <c r="Q75" s="17">
        <f ca="1"/>
        <v>0</v>
      </c>
      <c r="R75" s="17">
        <f ca="1"/>
        <v>0</v>
      </c>
      <c r="S75" s="17">
        <f ca="1"/>
        <v>0</v>
      </c>
      <c r="T75" s="17">
        <f ca="1"/>
        <v>1000</v>
      </c>
      <c r="U75" s="17">
        <f ca="1"/>
        <v>1000</v>
      </c>
      <c r="V75" s="17">
        <f ca="1"/>
        <v>1000</v>
      </c>
      <c r="W75" s="17">
        <f ca="1"/>
        <v>0</v>
      </c>
      <c r="X75" s="17">
        <f ca="1"/>
        <v>0</v>
      </c>
    </row>
    <row r="76" spans="1:24" hidden="1" x14ac:dyDescent="0.2">
      <c r="A76" t="s">
        <v>1</v>
      </c>
      <c r="B76" t="s">
        <v>102</v>
      </c>
      <c r="C76" t="str">
        <f>IF(B76="Existing Capacity", "MW", "GWh")</f>
        <v>MW</v>
      </c>
      <c r="D76" t="str" cm="1">
        <f t="array" aca="1" ref="D76:X82" ca="1">_xlfn.LET(_xlpm.country,A76,
_xlpm.table,INDIRECT(IF(B76="Existing Capacity",_xlpm.country,_xlpm.country&amp;"_HP")),
_xlpm.val,_xlfn._xlws.FILTER(_xlfn.HSTACK(leap[Branch Path],leap[[2005]:[2024]]),(leap[Region]=A76)*(leap[Variable]=B76)),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76" s="17">
        <f ca="1"/>
        <v>1245</v>
      </c>
      <c r="F76" s="17">
        <f ca="1"/>
        <v>1695</v>
      </c>
      <c r="G76" s="17">
        <f ca="1"/>
        <v>2386.25</v>
      </c>
      <c r="H76" s="17">
        <f ca="1"/>
        <v>3077.5</v>
      </c>
      <c r="I76" s="17">
        <f ca="1"/>
        <v>3768.75</v>
      </c>
      <c r="J76" s="17">
        <f ca="1"/>
        <v>4460</v>
      </c>
      <c r="K76" s="17">
        <f ca="1"/>
        <v>4460</v>
      </c>
      <c r="L76" s="17">
        <f ca="1"/>
        <v>4900</v>
      </c>
      <c r="M76" s="17">
        <f ca="1"/>
        <v>7053</v>
      </c>
      <c r="N76" s="17">
        <f ca="1"/>
        <v>9759</v>
      </c>
      <c r="O76" s="17">
        <f ca="1"/>
        <v>12540</v>
      </c>
      <c r="P76" s="17">
        <f ca="1"/>
        <v>13790</v>
      </c>
      <c r="Q76" s="17">
        <f ca="1"/>
        <v>15590</v>
      </c>
      <c r="R76" s="17">
        <f ca="1"/>
        <v>18945</v>
      </c>
      <c r="S76" s="17">
        <f ca="1"/>
        <v>20250.28</v>
      </c>
      <c r="T76" s="17">
        <f ca="1"/>
        <v>22077</v>
      </c>
      <c r="U76" s="17">
        <f ca="1"/>
        <v>25397</v>
      </c>
      <c r="V76" s="17">
        <f ca="1"/>
        <v>26087</v>
      </c>
      <c r="W76" s="17">
        <f ca="1"/>
        <v>27532</v>
      </c>
      <c r="X76" s="17">
        <f ca="1"/>
        <v>28229</v>
      </c>
    </row>
    <row r="77" spans="1:24" hidden="1" x14ac:dyDescent="0.2">
      <c r="A77" t="str" cm="1">
        <f t="array" aca="1" ref="A77:A82" ca="1">_xlfn.TOCOL(IF(_xlfn.SEQUENCE(, ROWS(_xlfn.ANCHORARRAY(D76))-1)&lt;=ROWS(_xlfn.ANCHORARRAY(D76))-1,A76,NA()))</f>
        <v>Vietnam</v>
      </c>
      <c r="B77" t="str" cm="1">
        <f t="array" aca="1" ref="B77:B82" ca="1">_xlfn.TOCOL(IF(_xlfn.SEQUENCE(, ROWS(_xlfn.ANCHORARRAY(D76))-1)&lt;=ROWS(_xlfn.ANCHORARRAY(D76))-1,B76,NA()))</f>
        <v>Existing Capacity</v>
      </c>
      <c r="C77" t="str" cm="1">
        <f t="array" aca="1" ref="C77:C82" ca="1">_xlfn.TOCOL(IF(_xlfn.SEQUENCE(, ROWS(_xlfn.ANCHORARRAY(D76))-1)&lt;=ROWS(_xlfn.ANCHORARRAY(D76))-1,C76,NA()))</f>
        <v>MW</v>
      </c>
      <c r="D77" t="str">
        <f ca="1"/>
        <v>Transformation\Centralized Electricity Generation\Processes\Diesel</v>
      </c>
      <c r="E77" s="17">
        <f ca="1"/>
        <v>198</v>
      </c>
      <c r="F77" s="17">
        <f ca="1"/>
        <v>2144.41</v>
      </c>
      <c r="G77" s="17">
        <f ca="1"/>
        <v>1915.308</v>
      </c>
      <c r="H77" s="17">
        <f ca="1"/>
        <v>1686.2049999999999</v>
      </c>
      <c r="I77" s="17">
        <f ca="1"/>
        <v>1457.1030000000001</v>
      </c>
      <c r="J77" s="17">
        <f ca="1"/>
        <v>1228</v>
      </c>
      <c r="K77" s="17">
        <f ca="1"/>
        <v>1228</v>
      </c>
      <c r="L77" s="17">
        <f ca="1"/>
        <v>1228</v>
      </c>
      <c r="M77" s="17">
        <f ca="1"/>
        <v>1228</v>
      </c>
      <c r="N77" s="17">
        <f ca="1"/>
        <v>1154.5</v>
      </c>
      <c r="O77" s="17">
        <f ca="1"/>
        <v>1216</v>
      </c>
      <c r="P77" s="17">
        <f ca="1"/>
        <v>1216</v>
      </c>
      <c r="Q77" s="17">
        <f ca="1"/>
        <v>1216</v>
      </c>
      <c r="R77" s="17">
        <f ca="1"/>
        <v>1579</v>
      </c>
      <c r="S77" s="17">
        <f ca="1"/>
        <v>1579</v>
      </c>
      <c r="T77" s="17">
        <f ca="1"/>
        <v>1603</v>
      </c>
      <c r="U77" s="17">
        <f ca="1"/>
        <v>1603</v>
      </c>
      <c r="V77" s="17">
        <f ca="1"/>
        <v>1603</v>
      </c>
      <c r="W77" s="17">
        <f ca="1"/>
        <v>1603</v>
      </c>
      <c r="X77" s="17">
        <f ca="1"/>
        <v>1603</v>
      </c>
    </row>
    <row r="78" spans="1:24" hidden="1" x14ac:dyDescent="0.2">
      <c r="A78" t="str">
        <f ca="1"/>
        <v>Vietnam</v>
      </c>
      <c r="B78" t="str">
        <f ca="1"/>
        <v>Existing Capacity</v>
      </c>
      <c r="C78" t="str">
        <f ca="1"/>
        <v>MW</v>
      </c>
      <c r="D78" t="str">
        <f ca="1"/>
        <v>Transformation\Centralized Electricity Generation\Processes\Gas Combined Cycle</v>
      </c>
      <c r="E78" s="17">
        <f ca="1"/>
        <v>2939</v>
      </c>
      <c r="F78" s="17">
        <f ca="1"/>
        <v>3297.4</v>
      </c>
      <c r="G78" s="17">
        <f ca="1"/>
        <v>4385.55</v>
      </c>
      <c r="H78" s="17">
        <f ca="1"/>
        <v>5473.7</v>
      </c>
      <c r="I78" s="17">
        <f ca="1"/>
        <v>6561.85</v>
      </c>
      <c r="J78" s="17">
        <f ca="1"/>
        <v>7650</v>
      </c>
      <c r="K78" s="17">
        <f ca="1"/>
        <v>7650</v>
      </c>
      <c r="L78" s="17">
        <f ca="1"/>
        <v>7650</v>
      </c>
      <c r="M78" s="17">
        <f ca="1"/>
        <v>7650</v>
      </c>
      <c r="N78" s="17">
        <f ca="1"/>
        <v>7345.1500000000005</v>
      </c>
      <c r="O78" s="17">
        <f ca="1"/>
        <v>7144</v>
      </c>
      <c r="P78" s="17">
        <f ca="1"/>
        <v>7144</v>
      </c>
      <c r="Q78" s="17">
        <f ca="1"/>
        <v>7144</v>
      </c>
      <c r="R78" s="17">
        <f ca="1"/>
        <v>7446</v>
      </c>
      <c r="S78" s="17">
        <f ca="1"/>
        <v>7483</v>
      </c>
      <c r="T78" s="17">
        <f ca="1"/>
        <v>7422</v>
      </c>
      <c r="U78" s="17">
        <f ca="1"/>
        <v>7422</v>
      </c>
      <c r="V78" s="17">
        <f ca="1"/>
        <v>7422</v>
      </c>
      <c r="W78" s="17">
        <f ca="1"/>
        <v>7422</v>
      </c>
      <c r="X78" s="17">
        <f ca="1"/>
        <v>7422</v>
      </c>
    </row>
    <row r="79" spans="1:24" hidden="1" x14ac:dyDescent="0.2">
      <c r="A79" t="str">
        <f ca="1"/>
        <v>Vietnam</v>
      </c>
      <c r="B79" t="str">
        <f ca="1"/>
        <v>Existing Capacity</v>
      </c>
      <c r="C79" t="str">
        <f ca="1"/>
        <v>MW</v>
      </c>
      <c r="D79" t="str">
        <f ca="1"/>
        <v>Transformation\Centralized Electricity Generation\Processes\Large Hydro</v>
      </c>
      <c r="E79" s="17">
        <f ca="1"/>
        <v>4155</v>
      </c>
      <c r="F79" s="17">
        <f ca="1"/>
        <v>4401.33</v>
      </c>
      <c r="G79" s="17">
        <f ca="1"/>
        <v>5345.9980000000005</v>
      </c>
      <c r="H79" s="17">
        <f ca="1"/>
        <v>6290.665</v>
      </c>
      <c r="I79" s="17">
        <f ca="1"/>
        <v>7235.3330000000005</v>
      </c>
      <c r="J79" s="17">
        <f ca="1"/>
        <v>8180</v>
      </c>
      <c r="K79" s="17">
        <f ca="1"/>
        <v>10165</v>
      </c>
      <c r="L79" s="17">
        <f ca="1"/>
        <v>12643</v>
      </c>
      <c r="M79" s="17">
        <f ca="1"/>
        <v>14661</v>
      </c>
      <c r="N79" s="17">
        <f ca="1"/>
        <v>15702.1</v>
      </c>
      <c r="O79" s="17">
        <f ca="1"/>
        <v>15808</v>
      </c>
      <c r="P79" s="17">
        <f ca="1"/>
        <v>17713</v>
      </c>
      <c r="Q79" s="17">
        <f ca="1"/>
        <v>18112</v>
      </c>
      <c r="R79" s="17">
        <f ca="1"/>
        <v>20170</v>
      </c>
      <c r="S79" s="17">
        <f ca="1"/>
        <v>20250</v>
      </c>
      <c r="T79" s="17">
        <f ca="1"/>
        <v>20859</v>
      </c>
      <c r="U79" s="17">
        <f ca="1"/>
        <v>22111</v>
      </c>
      <c r="V79" s="17">
        <f ca="1"/>
        <v>22999</v>
      </c>
      <c r="W79" s="17">
        <f ca="1"/>
        <v>23511</v>
      </c>
      <c r="X79" s="17">
        <f ca="1"/>
        <v>24190</v>
      </c>
    </row>
    <row r="80" spans="1:24" hidden="1" x14ac:dyDescent="0.2">
      <c r="A80" t="str">
        <f ca="1"/>
        <v>Vietnam</v>
      </c>
      <c r="B80" t="str">
        <f ca="1"/>
        <v>Existing Capacity</v>
      </c>
      <c r="C80" t="str">
        <f ca="1"/>
        <v>MW</v>
      </c>
      <c r="D80" t="str">
        <f ca="1"/>
        <v>Transformation\Centralized Electricity Generation\Processes\Solar PV</v>
      </c>
      <c r="E80" s="17">
        <f ca="1"/>
        <v>0</v>
      </c>
      <c r="F80" s="17">
        <f ca="1"/>
        <v>0</v>
      </c>
      <c r="G80" s="17">
        <f ca="1"/>
        <v>0</v>
      </c>
      <c r="H80" s="17">
        <f ca="1"/>
        <v>0</v>
      </c>
      <c r="I80" s="17">
        <f ca="1"/>
        <v>0</v>
      </c>
      <c r="J80" s="17">
        <f ca="1"/>
        <v>0</v>
      </c>
      <c r="K80" s="17">
        <f ca="1"/>
        <v>0</v>
      </c>
      <c r="L80" s="17">
        <f ca="1"/>
        <v>0</v>
      </c>
      <c r="M80" s="17">
        <f ca="1"/>
        <v>0</v>
      </c>
      <c r="N80" s="17">
        <f ca="1"/>
        <v>0</v>
      </c>
      <c r="O80" s="17">
        <f ca="1"/>
        <v>0</v>
      </c>
      <c r="P80" s="17">
        <f ca="1"/>
        <v>0</v>
      </c>
      <c r="Q80" s="17">
        <f ca="1"/>
        <v>0</v>
      </c>
      <c r="R80" s="17">
        <f ca="1"/>
        <v>86</v>
      </c>
      <c r="S80" s="17">
        <f ca="1"/>
        <v>5781</v>
      </c>
      <c r="T80" s="17">
        <f ca="1"/>
        <v>8852</v>
      </c>
      <c r="U80" s="17">
        <f ca="1"/>
        <v>16564</v>
      </c>
      <c r="V80" s="17">
        <f ca="1"/>
        <v>16568</v>
      </c>
      <c r="W80" s="17">
        <f ca="1"/>
        <v>16672</v>
      </c>
      <c r="X80" s="17">
        <f ca="1"/>
        <v>16823</v>
      </c>
    </row>
    <row r="81" spans="1:24" hidden="1" x14ac:dyDescent="0.2">
      <c r="A81" t="str">
        <f ca="1"/>
        <v>Vietnam</v>
      </c>
      <c r="B81" t="str">
        <f ca="1"/>
        <v>Existing Capacity</v>
      </c>
      <c r="C81" t="str">
        <f ca="1"/>
        <v>MW</v>
      </c>
      <c r="D81" t="str">
        <f ca="1"/>
        <v>Transformation\Centralized Electricity Generation\Processes\Wind Onshore</v>
      </c>
      <c r="E81" s="17">
        <f ca="1"/>
        <v>0</v>
      </c>
      <c r="F81" s="17">
        <f ca="1"/>
        <v>0</v>
      </c>
      <c r="G81" s="17">
        <f ca="1"/>
        <v>0</v>
      </c>
      <c r="H81" s="17">
        <f ca="1"/>
        <v>0</v>
      </c>
      <c r="I81" s="17">
        <f ca="1"/>
        <v>0</v>
      </c>
      <c r="J81" s="17">
        <f ca="1"/>
        <v>0</v>
      </c>
      <c r="K81" s="17">
        <f ca="1"/>
        <v>30</v>
      </c>
      <c r="L81" s="17">
        <f ca="1"/>
        <v>30</v>
      </c>
      <c r="M81" s="17">
        <f ca="1"/>
        <v>46</v>
      </c>
      <c r="N81" s="17">
        <f ca="1"/>
        <v>46</v>
      </c>
      <c r="O81" s="17">
        <f ca="1"/>
        <v>46</v>
      </c>
      <c r="P81" s="17">
        <f ca="1"/>
        <v>153.20000000000002</v>
      </c>
      <c r="Q81" s="17">
        <f ca="1"/>
        <v>189.20000000000002</v>
      </c>
      <c r="R81" s="17">
        <f ca="1"/>
        <v>243</v>
      </c>
      <c r="S81" s="17">
        <f ca="1"/>
        <v>521</v>
      </c>
      <c r="T81" s="17">
        <f ca="1"/>
        <v>538</v>
      </c>
      <c r="U81" s="17">
        <f ca="1"/>
        <v>4126</v>
      </c>
      <c r="V81" s="17">
        <f ca="1"/>
        <v>5059</v>
      </c>
      <c r="W81" s="17">
        <f ca="1"/>
        <v>5869</v>
      </c>
      <c r="X81" s="17">
        <f ca="1"/>
        <v>5991</v>
      </c>
    </row>
    <row r="82" spans="1:24" hidden="1" x14ac:dyDescent="0.2">
      <c r="A82" t="str">
        <f ca="1"/>
        <v>Vietnam</v>
      </c>
      <c r="B82" t="str">
        <f ca="1"/>
        <v>Existing Capacity</v>
      </c>
      <c r="C82" t="str">
        <f ca="1"/>
        <v>MW</v>
      </c>
      <c r="D82" t="str">
        <f ca="1"/>
        <v>Transformation\Centralized Electricity Generation\Processes\Biomass Other</v>
      </c>
      <c r="E82" s="17">
        <f ca="1"/>
        <v>16.23</v>
      </c>
      <c r="F82" s="17">
        <f ca="1"/>
        <v>10.51</v>
      </c>
      <c r="G82" s="17">
        <f ca="1"/>
        <v>12.71</v>
      </c>
      <c r="H82" s="17">
        <f ca="1"/>
        <v>10.57</v>
      </c>
      <c r="I82" s="17">
        <f ca="1"/>
        <v>12.05</v>
      </c>
      <c r="J82" s="17">
        <f ca="1"/>
        <v>12.05</v>
      </c>
      <c r="K82" s="17">
        <f ca="1"/>
        <v>17.7</v>
      </c>
      <c r="L82" s="17">
        <f ca="1"/>
        <v>18.690000000000001</v>
      </c>
      <c r="M82" s="17">
        <f ca="1"/>
        <v>17.21</v>
      </c>
      <c r="N82" s="17">
        <f ca="1"/>
        <v>18.93</v>
      </c>
      <c r="O82" s="17">
        <f ca="1"/>
        <v>35.160000000000004</v>
      </c>
      <c r="P82" s="17">
        <f ca="1"/>
        <v>30</v>
      </c>
      <c r="Q82" s="17">
        <f ca="1"/>
        <v>55</v>
      </c>
      <c r="R82" s="17">
        <f ca="1"/>
        <v>325</v>
      </c>
      <c r="S82" s="17">
        <f ca="1"/>
        <v>380</v>
      </c>
      <c r="T82" s="17">
        <f ca="1"/>
        <v>325</v>
      </c>
      <c r="U82" s="17">
        <f ca="1"/>
        <v>325</v>
      </c>
      <c r="V82" s="17">
        <f ca="1"/>
        <v>395</v>
      </c>
      <c r="W82" s="17">
        <f ca="1"/>
        <v>410</v>
      </c>
      <c r="X82" s="17">
        <f ca="1"/>
        <v>439</v>
      </c>
    </row>
    <row r="83" spans="1:24" hidden="1" x14ac:dyDescent="0.2">
      <c r="A83" t="s">
        <v>15</v>
      </c>
      <c r="B83" t="s">
        <v>3</v>
      </c>
      <c r="C83" t="str">
        <f>IF(B83="Existing Capacity", "MW", "GWh")</f>
        <v>GWh</v>
      </c>
      <c r="D83" t="str" cm="1">
        <f t="array" aca="1" ref="D83:X87" ca="1">_xlfn.LET(_xlpm.country,A83,
_xlpm.table,INDIRECT(IF(B83="Existing Capacity",_xlpm.country,_xlpm.country&amp;"_HP")),
_xlpm.val,_xlfn._xlws.FILTER(_xlfn.HSTACK(leap[Branch Path],leap[[2005]:[2024]]),(leap[Region]=A83)*(leap[Variable]=B83)),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IGCC</v>
      </c>
      <c r="E83" s="17">
        <f ca="1"/>
        <v>0</v>
      </c>
      <c r="F83" s="17">
        <f ca="1"/>
        <v>0</v>
      </c>
      <c r="G83" s="17">
        <f ca="1"/>
        <v>0</v>
      </c>
      <c r="H83" s="17">
        <f ca="1"/>
        <v>0</v>
      </c>
      <c r="I83" s="17">
        <f ca="1"/>
        <v>0</v>
      </c>
      <c r="J83" s="17">
        <f ca="1"/>
        <v>0</v>
      </c>
      <c r="K83" s="17">
        <f ca="1"/>
        <v>0</v>
      </c>
      <c r="L83" s="17">
        <f ca="1"/>
        <v>0</v>
      </c>
      <c r="M83" s="17">
        <f ca="1"/>
        <v>0</v>
      </c>
      <c r="N83" s="17">
        <f ca="1"/>
        <v>0</v>
      </c>
      <c r="O83" s="17">
        <f ca="1"/>
        <v>0</v>
      </c>
      <c r="P83" s="17">
        <f ca="1"/>
        <v>0</v>
      </c>
      <c r="Q83" s="17">
        <f ca="1"/>
        <v>0</v>
      </c>
      <c r="R83" s="17">
        <f ca="1"/>
        <v>0</v>
      </c>
      <c r="S83" s="17">
        <f ca="1"/>
        <v>484.08269799999999</v>
      </c>
      <c r="T83" s="17">
        <f ca="1"/>
        <v>914.47981000000004</v>
      </c>
      <c r="U83" s="17">
        <f ca="1"/>
        <v>1241.8820000000001</v>
      </c>
      <c r="V83" s="17">
        <f ca="1"/>
        <v>1207.644</v>
      </c>
      <c r="W83" s="17">
        <f ca="1"/>
        <v>1144.308</v>
      </c>
      <c r="X83" s="17">
        <f ca="1"/>
        <v>1190.0719999999999</v>
      </c>
    </row>
    <row r="84" spans="1:24" hidden="1" x14ac:dyDescent="0.2">
      <c r="A84" t="str" cm="1">
        <f t="array" aca="1" ref="A84:A87" ca="1">_xlfn.TOCOL(IF(_xlfn.SEQUENCE(, ROWS(_xlfn.ANCHORARRAY(D83))-1)&lt;=ROWS(_xlfn.ANCHORARRAY(D83))-1,A83,NA()))</f>
        <v>Brunei</v>
      </c>
      <c r="B84" t="str" cm="1">
        <f t="array" aca="1" ref="B84:B87" ca="1">_xlfn.TOCOL(IF(_xlfn.SEQUENCE(, ROWS(_xlfn.ANCHORARRAY(D83))-1)&lt;=ROWS(_xlfn.ANCHORARRAY(D83))-1,B83,NA()))</f>
        <v>Historical Production</v>
      </c>
      <c r="C84" t="str" cm="1">
        <f t="array" aca="1" ref="C84:C87" ca="1">_xlfn.TOCOL(IF(_xlfn.SEQUENCE(, ROWS(_xlfn.ANCHORARRAY(D83))-1)&lt;=ROWS(_xlfn.ANCHORARRAY(D83))-1,C83,NA()))</f>
        <v>GWh</v>
      </c>
      <c r="D84" t="str">
        <f ca="1"/>
        <v>Transformation\Centralized Electricity Generation\Processes\Diesel</v>
      </c>
      <c r="E84" s="17">
        <f ca="1"/>
        <v>28.6</v>
      </c>
      <c r="F84" s="17">
        <f ca="1"/>
        <v>30.6</v>
      </c>
      <c r="G84" s="17">
        <f ca="1"/>
        <v>32.799999999999997</v>
      </c>
      <c r="H84" s="17">
        <f ca="1"/>
        <v>33.299999999999997</v>
      </c>
      <c r="I84" s="17">
        <f ca="1"/>
        <v>36.6</v>
      </c>
      <c r="J84" s="17">
        <f ca="1"/>
        <v>37.9</v>
      </c>
      <c r="K84" s="17">
        <f ca="1"/>
        <v>37.4</v>
      </c>
      <c r="L84" s="17">
        <f ca="1"/>
        <v>37.800000000000004</v>
      </c>
      <c r="M84" s="17">
        <f ca="1"/>
        <v>38.1</v>
      </c>
      <c r="N84" s="17">
        <f ca="1"/>
        <v>39.6</v>
      </c>
      <c r="O84" s="17">
        <f ca="1"/>
        <v>42.4</v>
      </c>
      <c r="P84" s="17">
        <f ca="1"/>
        <v>45.2</v>
      </c>
      <c r="Q84" s="17">
        <f ca="1"/>
        <v>45.5</v>
      </c>
      <c r="R84" s="17">
        <f ca="1"/>
        <v>46.875081999999999</v>
      </c>
      <c r="S84" s="17">
        <f ca="1"/>
        <v>48.870100000000001</v>
      </c>
      <c r="T84" s="17">
        <f ca="1"/>
        <v>39.903940999999996</v>
      </c>
      <c r="U84" s="17">
        <f ca="1"/>
        <v>36.385892000000005</v>
      </c>
      <c r="V84" s="17">
        <f ca="1"/>
        <v>45.76823529</v>
      </c>
      <c r="W84" s="17">
        <f ca="1"/>
        <v>41.724481999999988</v>
      </c>
      <c r="X84" s="17">
        <f ca="1"/>
        <v>42.494313000000005</v>
      </c>
    </row>
    <row r="85" spans="1:24" hidden="1" x14ac:dyDescent="0.2">
      <c r="A85" t="str">
        <f ca="1"/>
        <v>Brunei</v>
      </c>
      <c r="B85" t="str">
        <f ca="1"/>
        <v>Historical Production</v>
      </c>
      <c r="C85" t="str">
        <f ca="1"/>
        <v>GWh</v>
      </c>
      <c r="D85" t="str">
        <f ca="1"/>
        <v>Transformation\Centralized Electricity Generation\Processes\Gas Turbine</v>
      </c>
      <c r="E85" s="17">
        <f ca="1"/>
        <v>2491.2600000000002</v>
      </c>
      <c r="F85" s="17">
        <f ca="1"/>
        <v>2592.23</v>
      </c>
      <c r="G85" s="17">
        <f ca="1"/>
        <v>2656.1</v>
      </c>
      <c r="H85" s="17">
        <f ca="1"/>
        <v>2700.989</v>
      </c>
      <c r="I85" s="17">
        <f ca="1"/>
        <v>2739.3</v>
      </c>
      <c r="J85" s="17">
        <f ca="1"/>
        <v>2715.5</v>
      </c>
      <c r="K85" s="17">
        <f ca="1"/>
        <v>2483.5</v>
      </c>
      <c r="L85" s="17">
        <f ca="1"/>
        <v>2582.9</v>
      </c>
      <c r="M85" s="17">
        <f ca="1"/>
        <v>2684.9</v>
      </c>
      <c r="N85" s="17">
        <f ca="1"/>
        <v>2749.8</v>
      </c>
      <c r="O85" s="17">
        <f ca="1"/>
        <v>2845.4</v>
      </c>
      <c r="P85" s="17">
        <f ca="1"/>
        <v>2836.1</v>
      </c>
      <c r="Q85" s="17">
        <f ca="1"/>
        <v>2721.9360000000001</v>
      </c>
      <c r="R85" s="17">
        <f ca="1"/>
        <v>2664.3833199999999</v>
      </c>
      <c r="S85" s="17">
        <f ca="1"/>
        <v>2693.4110000000001</v>
      </c>
      <c r="T85" s="17">
        <f ca="1"/>
        <v>2654.8980000000001</v>
      </c>
      <c r="U85" s="17">
        <f ca="1"/>
        <v>2710.998</v>
      </c>
      <c r="V85" s="17">
        <f ca="1"/>
        <v>2491.5990579999998</v>
      </c>
      <c r="W85" s="17">
        <f ca="1"/>
        <v>2581.808</v>
      </c>
      <c r="X85" s="17">
        <f ca="1"/>
        <v>2798.7739999999999</v>
      </c>
    </row>
    <row r="86" spans="1:24" hidden="1" x14ac:dyDescent="0.2">
      <c r="A86" t="str">
        <f ca="1"/>
        <v>Brunei</v>
      </c>
      <c r="B86" t="str">
        <f ca="1"/>
        <v>Historical Production</v>
      </c>
      <c r="C86" t="str">
        <f ca="1"/>
        <v>GWh</v>
      </c>
      <c r="D86" t="str">
        <f ca="1"/>
        <v>Transformation\Centralized Electricity Generation\Processes\Gas Combined Cycle</v>
      </c>
      <c r="E86" s="17">
        <f ca="1"/>
        <v>618.6</v>
      </c>
      <c r="F86" s="17">
        <f ca="1"/>
        <v>659.4</v>
      </c>
      <c r="G86" s="17">
        <f ca="1"/>
        <v>705.9</v>
      </c>
      <c r="H86" s="17">
        <f ca="1"/>
        <v>693</v>
      </c>
      <c r="I86" s="17">
        <f ca="1"/>
        <v>850.5</v>
      </c>
      <c r="J86" s="17">
        <f ca="1"/>
        <v>1038.8</v>
      </c>
      <c r="K86" s="17">
        <f ca="1"/>
        <v>1202.1000000000001</v>
      </c>
      <c r="L86" s="17">
        <f ca="1"/>
        <v>1307.9000000000001</v>
      </c>
      <c r="M86" s="17">
        <f ca="1"/>
        <v>1238.8</v>
      </c>
      <c r="N86" s="17">
        <f ca="1"/>
        <v>1265.2</v>
      </c>
      <c r="O86" s="17">
        <f ca="1"/>
        <v>1311</v>
      </c>
      <c r="P86" s="17">
        <f ca="1"/>
        <v>1388.6000000000001</v>
      </c>
      <c r="Q86" s="17">
        <f ca="1"/>
        <v>1388.3779999999999</v>
      </c>
      <c r="R86" s="17">
        <f ca="1"/>
        <v>1580.7470000000001</v>
      </c>
      <c r="S86" s="17">
        <f ca="1"/>
        <v>1706.877</v>
      </c>
      <c r="T86" s="17">
        <f ca="1"/>
        <v>1813.8019999999999</v>
      </c>
      <c r="U86" s="17">
        <f ca="1"/>
        <v>1706.0450000000001</v>
      </c>
      <c r="V86" s="17">
        <f ca="1"/>
        <v>1852.1530000000002</v>
      </c>
      <c r="W86" s="17">
        <f ca="1"/>
        <v>1837.731</v>
      </c>
      <c r="X86" s="17">
        <f ca="1"/>
        <v>1776.212</v>
      </c>
    </row>
    <row r="87" spans="1:24" hidden="1" x14ac:dyDescent="0.2">
      <c r="A87" t="str">
        <f ca="1"/>
        <v>Brunei</v>
      </c>
      <c r="B87" t="str">
        <f ca="1"/>
        <v>Historical Production</v>
      </c>
      <c r="C87" t="str">
        <f ca="1"/>
        <v>GWh</v>
      </c>
      <c r="D87" t="str">
        <f ca="1"/>
        <v>Transformation\Centralized Electricity Generation\Processes\Solar PV</v>
      </c>
      <c r="E87" s="17">
        <f ca="1"/>
        <v>0</v>
      </c>
      <c r="F87" s="17">
        <f ca="1"/>
        <v>0</v>
      </c>
      <c r="G87" s="17">
        <f ca="1"/>
        <v>0</v>
      </c>
      <c r="H87" s="17">
        <f ca="1"/>
        <v>0</v>
      </c>
      <c r="I87" s="17">
        <f ca="1"/>
        <v>0</v>
      </c>
      <c r="J87" s="17">
        <f ca="1"/>
        <v>0</v>
      </c>
      <c r="K87" s="17">
        <f ca="1"/>
        <v>0</v>
      </c>
      <c r="L87" s="17">
        <f ca="1"/>
        <v>0</v>
      </c>
      <c r="M87" s="17">
        <f ca="1"/>
        <v>0</v>
      </c>
      <c r="N87" s="17">
        <f ca="1"/>
        <v>0</v>
      </c>
      <c r="O87" s="17">
        <f ca="1"/>
        <v>1.2934300000000001</v>
      </c>
      <c r="P87" s="17">
        <f ca="1"/>
        <v>1.1000000000000001</v>
      </c>
      <c r="Q87" s="17">
        <f ca="1"/>
        <v>1.5453633</v>
      </c>
      <c r="R87" s="17">
        <f ca="1"/>
        <v>1.5690216999999997</v>
      </c>
      <c r="S87" s="17">
        <f ca="1"/>
        <v>1.0583202</v>
      </c>
      <c r="T87" s="17">
        <f ca="1"/>
        <v>0.98310219999999993</v>
      </c>
      <c r="U87" s="17">
        <f ca="1"/>
        <v>4.4298973000000004</v>
      </c>
      <c r="V87" s="17">
        <f ca="1"/>
        <v>5.0871642999999995</v>
      </c>
      <c r="W87" s="17">
        <f ca="1"/>
        <v>5.5786028999999999</v>
      </c>
      <c r="X87" s="17">
        <f ca="1"/>
        <v>4.8223758999999999</v>
      </c>
    </row>
    <row r="88" spans="1:24" hidden="1" x14ac:dyDescent="0.2">
      <c r="A88" t="s">
        <v>17</v>
      </c>
      <c r="B88" t="s">
        <v>3</v>
      </c>
      <c r="C88" t="str">
        <f>IF(B88="Existing Capacity", "MW", "GWh")</f>
        <v>GWh</v>
      </c>
      <c r="D88" t="str" cm="1">
        <f t="array" aca="1" ref="D88:X93" ca="1">_xlfn.LET(_xlpm.country,A88,
_xlpm.table,INDIRECT(IF(B88="Existing Capacity",_xlpm.country,_xlpm.country&amp;"_HP")),
_xlpm.val,_xlfn._xlws.FILTER(_xlfn.HSTACK(leap[Branch Path],leap[[2005]:[2024]]),(leap[Region]=A88)*(leap[Variable]=B88)),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88" s="17">
        <f ca="1"/>
        <v>0</v>
      </c>
      <c r="F88" s="17">
        <f ca="1"/>
        <v>0</v>
      </c>
      <c r="G88" s="17">
        <f ca="1"/>
        <v>0</v>
      </c>
      <c r="H88" s="17">
        <f ca="1"/>
        <v>23.359999999999996</v>
      </c>
      <c r="I88" s="17">
        <f ca="1"/>
        <v>28.03</v>
      </c>
      <c r="J88" s="17">
        <f ca="1"/>
        <v>32.08</v>
      </c>
      <c r="K88" s="17">
        <f ca="1"/>
        <v>46.500000000000007</v>
      </c>
      <c r="L88" s="17">
        <f ca="1"/>
        <v>37.42</v>
      </c>
      <c r="M88" s="17">
        <f ca="1"/>
        <v>168.75</v>
      </c>
      <c r="N88" s="17">
        <f ca="1"/>
        <v>863.02</v>
      </c>
      <c r="O88" s="17">
        <f ca="1"/>
        <v>2210.1400000000003</v>
      </c>
      <c r="P88" s="17">
        <f ca="1"/>
        <v>2551.17</v>
      </c>
      <c r="Q88" s="17">
        <f ca="1"/>
        <v>3569.01</v>
      </c>
      <c r="R88" s="17">
        <f ca="1"/>
        <v>3362</v>
      </c>
      <c r="S88" s="17">
        <f ca="1"/>
        <v>4107</v>
      </c>
      <c r="T88" s="17">
        <f ca="1"/>
        <v>4311</v>
      </c>
      <c r="U88" s="17">
        <f ca="1"/>
        <v>3455.6</v>
      </c>
      <c r="V88" s="17">
        <f ca="1"/>
        <v>3664.67</v>
      </c>
      <c r="W88" s="17">
        <f ca="1"/>
        <v>7665.13</v>
      </c>
      <c r="X88" s="17">
        <f ca="1"/>
        <v>9208.8799999999992</v>
      </c>
    </row>
    <row r="89" spans="1:24" hidden="1" x14ac:dyDescent="0.2">
      <c r="A89" t="str" cm="1">
        <f t="array" aca="1" ref="A89:A93" ca="1">_xlfn.TOCOL(IF(_xlfn.SEQUENCE(, ROWS(_xlfn.ANCHORARRAY(D88))-1)&lt;=ROWS(_xlfn.ANCHORARRAY(D88))-1,A88,NA()))</f>
        <v>Cambodia</v>
      </c>
      <c r="B89" t="str" cm="1">
        <f t="array" aca="1" ref="B89:B93" ca="1">_xlfn.TOCOL(IF(_xlfn.SEQUENCE(, ROWS(_xlfn.ANCHORARRAY(D88))-1)&lt;=ROWS(_xlfn.ANCHORARRAY(D88))-1,B88,NA()))</f>
        <v>Historical Production</v>
      </c>
      <c r="C89" t="str" cm="1">
        <f t="array" aca="1" ref="C89:C93" ca="1">_xlfn.TOCOL(IF(_xlfn.SEQUENCE(, ROWS(_xlfn.ANCHORARRAY(D88))-1)&lt;=ROWS(_xlfn.ANCHORARRAY(D88))-1,C88,NA()))</f>
        <v>GWh</v>
      </c>
      <c r="D89" t="str">
        <f ca="1"/>
        <v>Transformation\Centralized Electricity Generation\Processes\Diesel</v>
      </c>
      <c r="E89" s="17">
        <f ca="1"/>
        <v>21</v>
      </c>
      <c r="F89" s="17">
        <f ca="1"/>
        <v>23.999999999999996</v>
      </c>
      <c r="G89" s="17">
        <f ca="1"/>
        <v>36</v>
      </c>
      <c r="H89" s="17">
        <f ca="1"/>
        <v>37.999999999999993</v>
      </c>
      <c r="I89" s="17">
        <f ca="1"/>
        <v>42</v>
      </c>
      <c r="J89" s="17">
        <f ca="1"/>
        <v>41</v>
      </c>
      <c r="K89" s="17">
        <f ca="1"/>
        <v>37.999999999999993</v>
      </c>
      <c r="L89" s="17">
        <f ca="1"/>
        <v>40</v>
      </c>
      <c r="M89" s="17">
        <f ca="1"/>
        <v>27.999999999999996</v>
      </c>
      <c r="N89" s="17">
        <f ca="1"/>
        <v>27.999999999999996</v>
      </c>
      <c r="O89" s="17">
        <f ca="1"/>
        <v>93.999999999999986</v>
      </c>
      <c r="P89" s="17">
        <f ca="1"/>
        <v>16</v>
      </c>
      <c r="Q89" s="17">
        <f ca="1"/>
        <v>10</v>
      </c>
      <c r="R89" s="17">
        <f ca="1"/>
        <v>0</v>
      </c>
      <c r="S89" s="17">
        <f ca="1"/>
        <v>0</v>
      </c>
      <c r="T89" s="17">
        <f ca="1"/>
        <v>0</v>
      </c>
      <c r="U89" s="17">
        <f ca="1"/>
        <v>0</v>
      </c>
      <c r="V89" s="17">
        <f ca="1"/>
        <v>0</v>
      </c>
      <c r="W89" s="17">
        <f ca="1"/>
        <v>0</v>
      </c>
      <c r="X89" s="17">
        <f ca="1"/>
        <v>0</v>
      </c>
    </row>
    <row r="90" spans="1:24" hidden="1" x14ac:dyDescent="0.2">
      <c r="A90" t="str">
        <f ca="1"/>
        <v>Cambodia</v>
      </c>
      <c r="B90" t="str">
        <f ca="1"/>
        <v>Historical Production</v>
      </c>
      <c r="C90" t="str">
        <f ca="1"/>
        <v>GWh</v>
      </c>
      <c r="D90" t="str">
        <f ca="1"/>
        <v>Transformation\Centralized Electricity Generation\Processes\Fuel Oil</v>
      </c>
      <c r="E90" s="17">
        <f ca="1"/>
        <v>814.99999999999989</v>
      </c>
      <c r="F90" s="17">
        <f ca="1"/>
        <v>1011.0000000000001</v>
      </c>
      <c r="G90" s="17">
        <f ca="1"/>
        <v>1258</v>
      </c>
      <c r="H90" s="17">
        <f ca="1"/>
        <v>1371.9999999999998</v>
      </c>
      <c r="I90" s="17">
        <f ca="1"/>
        <v>1110.9999999999998</v>
      </c>
      <c r="J90" s="17">
        <f ca="1"/>
        <v>858.00000000000011</v>
      </c>
      <c r="K90" s="17">
        <f ca="1"/>
        <v>870.99999999999989</v>
      </c>
      <c r="L90" s="17">
        <f ca="1"/>
        <v>816</v>
      </c>
      <c r="M90" s="17">
        <f ca="1"/>
        <v>551.00000000000011</v>
      </c>
      <c r="N90" s="17">
        <f ca="1"/>
        <v>299</v>
      </c>
      <c r="O90" s="17">
        <f ca="1"/>
        <v>118.00000000000001</v>
      </c>
      <c r="P90" s="17">
        <f ca="1"/>
        <v>362</v>
      </c>
      <c r="Q90" s="17">
        <f ca="1"/>
        <v>381</v>
      </c>
      <c r="R90" s="17">
        <f ca="1"/>
        <v>302</v>
      </c>
      <c r="S90" s="17">
        <f ca="1"/>
        <v>739</v>
      </c>
      <c r="T90" s="17">
        <f ca="1"/>
        <v>451</v>
      </c>
      <c r="U90" s="17">
        <f ca="1"/>
        <v>553.64</v>
      </c>
      <c r="V90" s="17">
        <f ca="1"/>
        <v>351.14</v>
      </c>
      <c r="W90" s="17">
        <f ca="1"/>
        <v>53.28</v>
      </c>
      <c r="X90" s="17">
        <f ca="1"/>
        <v>532.41999999999996</v>
      </c>
    </row>
    <row r="91" spans="1:24" hidden="1" x14ac:dyDescent="0.2">
      <c r="A91" t="str">
        <f ca="1"/>
        <v>Cambodia</v>
      </c>
      <c r="B91" t="str">
        <f ca="1"/>
        <v>Historical Production</v>
      </c>
      <c r="C91" t="str">
        <f ca="1"/>
        <v>GWh</v>
      </c>
      <c r="D91" t="str">
        <f ca="1"/>
        <v>Transformation\Centralized Electricity Generation\Processes\Large Hydro</v>
      </c>
      <c r="E91" s="17">
        <f ca="1"/>
        <v>43.54</v>
      </c>
      <c r="F91" s="17">
        <f ca="1"/>
        <v>50.61</v>
      </c>
      <c r="G91" s="17">
        <f ca="1"/>
        <v>49.709999999999994</v>
      </c>
      <c r="H91" s="17">
        <f ca="1"/>
        <v>46.279999999999987</v>
      </c>
      <c r="I91" s="17">
        <f ca="1"/>
        <v>47.430000000000007</v>
      </c>
      <c r="J91" s="17">
        <f ca="1"/>
        <v>31.729999999999997</v>
      </c>
      <c r="K91" s="17">
        <f ca="1"/>
        <v>51.52000000000001</v>
      </c>
      <c r="L91" s="17">
        <f ca="1"/>
        <v>517.37000000000012</v>
      </c>
      <c r="M91" s="17">
        <f ca="1"/>
        <v>1015.5399999999998</v>
      </c>
      <c r="N91" s="17">
        <f ca="1"/>
        <v>1851.6000000000004</v>
      </c>
      <c r="O91" s="17">
        <f ca="1"/>
        <v>1988.38</v>
      </c>
      <c r="P91" s="17">
        <f ca="1"/>
        <v>2619.11</v>
      </c>
      <c r="Q91" s="17">
        <f ca="1"/>
        <v>2711.14</v>
      </c>
      <c r="R91" s="17">
        <f ca="1"/>
        <v>4832</v>
      </c>
      <c r="S91" s="17">
        <f ca="1"/>
        <v>4106</v>
      </c>
      <c r="T91" s="17">
        <f ca="1"/>
        <v>3937</v>
      </c>
      <c r="U91" s="17">
        <f ca="1"/>
        <v>5043.9399999999996</v>
      </c>
      <c r="V91" s="17">
        <f ca="1"/>
        <v>5557.55</v>
      </c>
      <c r="W91" s="17">
        <f ca="1"/>
        <v>7333.41</v>
      </c>
      <c r="X91" s="17">
        <f ca="1"/>
        <v>7227.78</v>
      </c>
    </row>
    <row r="92" spans="1:24" hidden="1" x14ac:dyDescent="0.2">
      <c r="A92" t="str">
        <f ca="1"/>
        <v>Cambodia</v>
      </c>
      <c r="B92" t="str">
        <f ca="1"/>
        <v>Historical Production</v>
      </c>
      <c r="C92" t="str">
        <f ca="1"/>
        <v>GWh</v>
      </c>
      <c r="D92" t="str">
        <f ca="1"/>
        <v>Transformation\Centralized Electricity Generation\Processes\Solar PV</v>
      </c>
      <c r="E92" s="17">
        <f ca="1"/>
        <v>0</v>
      </c>
      <c r="F92" s="17">
        <f ca="1"/>
        <v>0</v>
      </c>
      <c r="G92" s="17">
        <f ca="1"/>
        <v>0</v>
      </c>
      <c r="H92" s="17">
        <f ca="1"/>
        <v>0</v>
      </c>
      <c r="I92" s="17">
        <f ca="1"/>
        <v>0</v>
      </c>
      <c r="J92" s="17">
        <f ca="1"/>
        <v>0</v>
      </c>
      <c r="K92" s="17">
        <f ca="1"/>
        <v>0</v>
      </c>
      <c r="L92" s="17">
        <f ca="1"/>
        <v>0</v>
      </c>
      <c r="M92" s="17">
        <f ca="1"/>
        <v>0</v>
      </c>
      <c r="N92" s="17">
        <f ca="1"/>
        <v>0</v>
      </c>
      <c r="O92" s="17">
        <f ca="1"/>
        <v>0</v>
      </c>
      <c r="P92" s="17">
        <f ca="1"/>
        <v>0</v>
      </c>
      <c r="Q92" s="17">
        <f ca="1"/>
        <v>4.6599999999999993</v>
      </c>
      <c r="R92" s="17">
        <f ca="1"/>
        <v>16</v>
      </c>
      <c r="S92" s="17">
        <f ca="1"/>
        <v>92</v>
      </c>
      <c r="T92" s="17">
        <f ca="1"/>
        <v>290</v>
      </c>
      <c r="U92" s="17">
        <f ca="1"/>
        <v>609.96</v>
      </c>
      <c r="V92" s="17">
        <f ca="1"/>
        <v>687.87</v>
      </c>
      <c r="W92" s="17">
        <f ca="1"/>
        <v>805.06</v>
      </c>
      <c r="X92" s="17">
        <f ca="1"/>
        <v>1278.96</v>
      </c>
    </row>
    <row r="93" spans="1:24" hidden="1" x14ac:dyDescent="0.2">
      <c r="A93" t="str">
        <f ca="1"/>
        <v>Cambodia</v>
      </c>
      <c r="B93" t="str">
        <f ca="1"/>
        <v>Historical Production</v>
      </c>
      <c r="C93" t="str">
        <f ca="1"/>
        <v>GWh</v>
      </c>
      <c r="D93" t="str">
        <f ca="1"/>
        <v>Transformation\Centralized Electricity Generation\Processes\Biomass Other</v>
      </c>
      <c r="E93" s="17">
        <f ca="1"/>
        <v>0.12</v>
      </c>
      <c r="F93" s="17">
        <f ca="1"/>
        <v>1.6799999999999997</v>
      </c>
      <c r="G93" s="17">
        <f ca="1"/>
        <v>5.25</v>
      </c>
      <c r="H93" s="17">
        <f ca="1"/>
        <v>4.5299999999999994</v>
      </c>
      <c r="I93" s="17">
        <f ca="1"/>
        <v>6.49</v>
      </c>
      <c r="J93" s="17">
        <f ca="1"/>
        <v>5.8200000000000012</v>
      </c>
      <c r="K93" s="17">
        <f ca="1"/>
        <v>11.91</v>
      </c>
      <c r="L93" s="17">
        <f ca="1"/>
        <v>11.749999999999998</v>
      </c>
      <c r="M93" s="17">
        <f ca="1"/>
        <v>6.6799999999999988</v>
      </c>
      <c r="N93" s="17">
        <f ca="1"/>
        <v>16.789999999999996</v>
      </c>
      <c r="O93" s="17">
        <f ca="1"/>
        <v>38.04</v>
      </c>
      <c r="P93" s="17">
        <f ca="1"/>
        <v>43.35</v>
      </c>
      <c r="Q93" s="17">
        <f ca="1"/>
        <v>51.870000000000005</v>
      </c>
      <c r="R93" s="17">
        <f ca="1"/>
        <v>64</v>
      </c>
      <c r="S93" s="17">
        <f ca="1"/>
        <v>92</v>
      </c>
      <c r="T93" s="17">
        <f ca="1"/>
        <v>66</v>
      </c>
      <c r="U93" s="17">
        <f ca="1"/>
        <v>49.63</v>
      </c>
      <c r="V93" s="17">
        <f ca="1"/>
        <v>51.63</v>
      </c>
      <c r="W93" s="17">
        <f ca="1"/>
        <v>62.93</v>
      </c>
      <c r="X93" s="17">
        <f ca="1"/>
        <v>66.66</v>
      </c>
    </row>
    <row r="94" spans="1:24" hidden="1" x14ac:dyDescent="0.2">
      <c r="A94" t="s">
        <v>19</v>
      </c>
      <c r="B94" t="s">
        <v>3</v>
      </c>
      <c r="C94" t="str">
        <f>IF(B94="Existing Capacity", "MW", "GWh")</f>
        <v>GWh</v>
      </c>
      <c r="D94" t="str" cm="1">
        <f t="array" aca="1" ref="D94:X107" ca="1">_xlfn.LET(_xlpm.country,A94,
_xlpm.table,INDIRECT(IF(B94="Existing Capacity",_xlpm.country,_xlpm.country&amp;"_HP")),
_xlpm.val,_xlfn._xlws.FILTER(_xlfn.HSTACK(leap[Branch Path],leap[[2005]:[2024]]),(leap[Region]=A94)*(leap[Variable]=B94)),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94" s="17">
        <f ca="1"/>
        <v>60864</v>
      </c>
      <c r="F94" s="17">
        <f ca="1"/>
        <v>68103.000000000015</v>
      </c>
      <c r="G94" s="17">
        <f ca="1"/>
        <v>74268.999999999985</v>
      </c>
      <c r="H94" s="17">
        <f ca="1"/>
        <v>72680.000000000015</v>
      </c>
      <c r="I94" s="17">
        <f ca="1"/>
        <v>75804</v>
      </c>
      <c r="J94" s="17">
        <f ca="1"/>
        <v>76391.999999999985</v>
      </c>
      <c r="K94" s="17">
        <f ca="1"/>
        <v>88815</v>
      </c>
      <c r="L94" s="17">
        <f ca="1"/>
        <v>101551.99999999999</v>
      </c>
      <c r="M94" s="17">
        <f ca="1"/>
        <v>110888.00000000003</v>
      </c>
      <c r="N94" s="17">
        <f ca="1"/>
        <v>119070.99999999997</v>
      </c>
      <c r="O94" s="17">
        <f ca="1"/>
        <v>129416</v>
      </c>
      <c r="P94" s="17">
        <f ca="1"/>
        <v>128695</v>
      </c>
      <c r="Q94" s="17">
        <f ca="1"/>
        <v>134538.00000000003</v>
      </c>
      <c r="R94" s="17">
        <f ca="1"/>
        <v>110035</v>
      </c>
      <c r="S94" s="17">
        <f ca="1"/>
        <v>119520</v>
      </c>
      <c r="T94" s="17">
        <f ca="1"/>
        <v>113335</v>
      </c>
      <c r="U94" s="17">
        <f ca="1"/>
        <v>113488</v>
      </c>
      <c r="V94" s="17">
        <f ca="1"/>
        <v>114728</v>
      </c>
      <c r="W94" s="17">
        <f ca="1"/>
        <v>112035</v>
      </c>
      <c r="X94" s="17">
        <f ca="1"/>
        <v>114158</v>
      </c>
    </row>
    <row r="95" spans="1:24" hidden="1" x14ac:dyDescent="0.2">
      <c r="A95" t="str" cm="1">
        <f t="array" aca="1" ref="A95:A107" ca="1">_xlfn.TOCOL(IF(_xlfn.SEQUENCE(, ROWS(_xlfn.ANCHORARRAY(D94))-1)&lt;=ROWS(_xlfn.ANCHORARRAY(D94))-1,A94,NA()))</f>
        <v>Indonesia</v>
      </c>
      <c r="B95" t="str" cm="1">
        <f t="array" aca="1" ref="B95:B107" ca="1">_xlfn.TOCOL(IF(_xlfn.SEQUENCE(, ROWS(_xlfn.ANCHORARRAY(D94))-1)&lt;=ROWS(_xlfn.ANCHORARRAY(D94))-1,B94,NA()))</f>
        <v>Historical Production</v>
      </c>
      <c r="C95" t="str" cm="1">
        <f t="array" aca="1" ref="C95:C107" ca="1">_xlfn.TOCOL(IF(_xlfn.SEQUENCE(, ROWS(_xlfn.ANCHORARRAY(D94))-1)&lt;=ROWS(_xlfn.ANCHORARRAY(D94))-1,C94,NA()))</f>
        <v>GWh</v>
      </c>
      <c r="D95" t="str">
        <f ca="1"/>
        <v>Transformation\Centralized Electricity Generation\Processes\Coal Supercritical</v>
      </c>
      <c r="E95" s="17">
        <f ca="1"/>
        <v>0</v>
      </c>
      <c r="F95" s="17">
        <f ca="1"/>
        <v>0</v>
      </c>
      <c r="G95" s="17">
        <f ca="1"/>
        <v>0</v>
      </c>
      <c r="H95" s="17">
        <f ca="1"/>
        <v>0</v>
      </c>
      <c r="I95" s="17">
        <f ca="1"/>
        <v>0</v>
      </c>
      <c r="J95" s="17">
        <f ca="1"/>
        <v>0</v>
      </c>
      <c r="K95" s="17">
        <f ca="1"/>
        <v>0</v>
      </c>
      <c r="L95" s="17">
        <f ca="1"/>
        <v>8175</v>
      </c>
      <c r="M95" s="17">
        <f ca="1"/>
        <v>7311</v>
      </c>
      <c r="N95" s="17">
        <f ca="1"/>
        <v>7419</v>
      </c>
      <c r="O95" s="17">
        <f ca="1"/>
        <v>7383</v>
      </c>
      <c r="P95" s="17">
        <f ca="1"/>
        <v>12978</v>
      </c>
      <c r="Q95" s="17">
        <f ca="1"/>
        <v>18128.999999999996</v>
      </c>
      <c r="R95" s="17">
        <f ca="1"/>
        <v>49978</v>
      </c>
      <c r="S95" s="17">
        <f ca="1"/>
        <v>54973</v>
      </c>
      <c r="T95" s="17">
        <f ca="1"/>
        <v>67534</v>
      </c>
      <c r="U95" s="17">
        <f ca="1"/>
        <v>76196</v>
      </c>
      <c r="V95" s="17">
        <f ca="1"/>
        <v>90580</v>
      </c>
      <c r="W95" s="17">
        <f ca="1"/>
        <v>104742</v>
      </c>
      <c r="X95" s="17">
        <f ca="1"/>
        <v>114276</v>
      </c>
    </row>
    <row r="96" spans="1:24" hidden="1" x14ac:dyDescent="0.2">
      <c r="A96" t="str">
        <f ca="1"/>
        <v>Indonesia</v>
      </c>
      <c r="B96" t="str">
        <f ca="1"/>
        <v>Historical Production</v>
      </c>
      <c r="C96" t="str">
        <f ca="1"/>
        <v>GWh</v>
      </c>
      <c r="D96" t="str">
        <f ca="1"/>
        <v>Transformation\Centralized Electricity Generation\Processes\Diesel</v>
      </c>
      <c r="E96" s="17">
        <f ca="1"/>
        <v>9117.0000000000018</v>
      </c>
      <c r="F96" s="17">
        <f ca="1"/>
        <v>9173</v>
      </c>
      <c r="G96" s="17">
        <f ca="1"/>
        <v>8961</v>
      </c>
      <c r="H96" s="17">
        <f ca="1"/>
        <v>10640</v>
      </c>
      <c r="I96" s="17">
        <f ca="1"/>
        <v>10825.000000000002</v>
      </c>
      <c r="J96" s="17">
        <f ca="1"/>
        <v>12294</v>
      </c>
      <c r="K96" s="17">
        <f ca="1"/>
        <v>16475.000000000004</v>
      </c>
      <c r="L96" s="17">
        <f ca="1"/>
        <v>19192</v>
      </c>
      <c r="M96" s="17">
        <f ca="1"/>
        <v>19307</v>
      </c>
      <c r="N96" s="17">
        <f ca="1"/>
        <v>22280.000000000004</v>
      </c>
      <c r="O96" s="17">
        <f ca="1"/>
        <v>19491.999999999996</v>
      </c>
      <c r="P96" s="17">
        <f ca="1"/>
        <v>19708</v>
      </c>
      <c r="Q96" s="17">
        <f ca="1"/>
        <v>18563</v>
      </c>
      <c r="R96" s="17">
        <f ca="1"/>
        <v>17429</v>
      </c>
      <c r="S96" s="17">
        <f ca="1"/>
        <v>10456</v>
      </c>
      <c r="T96" s="17">
        <f ca="1"/>
        <v>6730</v>
      </c>
      <c r="U96" s="17">
        <f ca="1"/>
        <v>6423</v>
      </c>
      <c r="V96" s="17">
        <f ca="1"/>
        <v>6080</v>
      </c>
      <c r="W96" s="17">
        <f ca="1"/>
        <v>6482</v>
      </c>
      <c r="X96" s="17">
        <f ca="1"/>
        <v>7037</v>
      </c>
    </row>
    <row r="97" spans="1:24" hidden="1" x14ac:dyDescent="0.2">
      <c r="A97" t="str">
        <f ca="1"/>
        <v>Indonesia</v>
      </c>
      <c r="B97" t="str">
        <f ca="1"/>
        <v>Historical Production</v>
      </c>
      <c r="C97" t="str">
        <f ca="1"/>
        <v>GWh</v>
      </c>
      <c r="D97" t="str">
        <f ca="1"/>
        <v>Transformation\Centralized Electricity Generation\Processes\Gas Turbine</v>
      </c>
      <c r="E97" s="17">
        <f ca="1"/>
        <v>6412.0000000000009</v>
      </c>
      <c r="F97" s="17">
        <f ca="1"/>
        <v>5818</v>
      </c>
      <c r="G97" s="17">
        <f ca="1"/>
        <v>6661.9999999999991</v>
      </c>
      <c r="H97" s="17">
        <f ca="1"/>
        <v>6956.9999999999982</v>
      </c>
      <c r="I97" s="17">
        <f ca="1"/>
        <v>10342.999999999996</v>
      </c>
      <c r="J97" s="17">
        <f ca="1"/>
        <v>10884.000000000002</v>
      </c>
      <c r="K97" s="17">
        <f ca="1"/>
        <v>11664</v>
      </c>
      <c r="L97" s="17">
        <f ca="1"/>
        <v>10001</v>
      </c>
      <c r="M97" s="17">
        <f ca="1"/>
        <v>10486.999999999996</v>
      </c>
      <c r="N97" s="17">
        <f ca="1"/>
        <v>10711.999999999998</v>
      </c>
      <c r="O97" s="17">
        <f ca="1"/>
        <v>7997</v>
      </c>
      <c r="P97" s="17">
        <f ca="1"/>
        <v>6511.9999999999991</v>
      </c>
      <c r="Q97" s="17">
        <f ca="1"/>
        <v>7119.0000000000009</v>
      </c>
      <c r="R97" s="17">
        <f ca="1"/>
        <v>9957</v>
      </c>
      <c r="S97" s="17">
        <f ca="1"/>
        <v>9144</v>
      </c>
      <c r="T97" s="17">
        <f ca="1"/>
        <v>6495</v>
      </c>
      <c r="U97" s="17">
        <f ca="1"/>
        <v>7212</v>
      </c>
      <c r="V97" s="17">
        <f ca="1"/>
        <v>6566</v>
      </c>
      <c r="W97" s="17">
        <f ca="1"/>
        <v>5321</v>
      </c>
      <c r="X97" s="17">
        <f ca="1"/>
        <v>6650</v>
      </c>
    </row>
    <row r="98" spans="1:24" hidden="1" x14ac:dyDescent="0.2">
      <c r="A98" t="str">
        <f ca="1"/>
        <v>Indonesia</v>
      </c>
      <c r="B98" t="str">
        <f ca="1"/>
        <v>Historical Production</v>
      </c>
      <c r="C98" t="str">
        <f ca="1"/>
        <v>GWh</v>
      </c>
      <c r="D98" t="str">
        <f ca="1"/>
        <v>Transformation\Centralized Electricity Generation\Processes\Gas Engine</v>
      </c>
      <c r="E98" s="17">
        <f ca="1"/>
        <v>0</v>
      </c>
      <c r="F98" s="17">
        <f ca="1"/>
        <v>0</v>
      </c>
      <c r="G98" s="17">
        <f ca="1"/>
        <v>121.00000000000001</v>
      </c>
      <c r="H98" s="17">
        <f ca="1"/>
        <v>0</v>
      </c>
      <c r="I98" s="17">
        <f ca="1"/>
        <v>0</v>
      </c>
      <c r="J98" s="17">
        <f ca="1"/>
        <v>74</v>
      </c>
      <c r="K98" s="17">
        <f ca="1"/>
        <v>47.999999999999993</v>
      </c>
      <c r="L98" s="17">
        <f ca="1"/>
        <v>54.999999999999993</v>
      </c>
      <c r="M98" s="17">
        <f ca="1"/>
        <v>382.00000000000006</v>
      </c>
      <c r="N98" s="17">
        <f ca="1"/>
        <v>50.999999999999993</v>
      </c>
      <c r="O98" s="17">
        <f ca="1"/>
        <v>1233</v>
      </c>
      <c r="P98" s="17">
        <f ca="1"/>
        <v>2450.9999999999995</v>
      </c>
      <c r="Q98" s="17">
        <f ca="1"/>
        <v>81.999999999999986</v>
      </c>
      <c r="R98" s="17">
        <f ca="1"/>
        <v>198</v>
      </c>
      <c r="S98" s="17">
        <f ca="1"/>
        <v>6417</v>
      </c>
      <c r="T98" s="17">
        <f ca="1"/>
        <v>9259</v>
      </c>
      <c r="U98" s="17">
        <f ca="1"/>
        <v>10353</v>
      </c>
      <c r="V98" s="17">
        <f ca="1"/>
        <v>10806</v>
      </c>
      <c r="W98" s="17">
        <f ca="1"/>
        <v>10295</v>
      </c>
      <c r="X98" s="17">
        <f ca="1"/>
        <v>10748</v>
      </c>
    </row>
    <row r="99" spans="1:24" hidden="1" x14ac:dyDescent="0.2">
      <c r="A99" t="str">
        <f ca="1"/>
        <v>Indonesia</v>
      </c>
      <c r="B99" t="str">
        <f ca="1"/>
        <v>Historical Production</v>
      </c>
      <c r="C99" t="str">
        <f ca="1"/>
        <v>GWh</v>
      </c>
      <c r="D99" t="str">
        <f ca="1"/>
        <v>Transformation\Centralized Electricity Generation\Processes\Gas Combined Cycle</v>
      </c>
      <c r="E99" s="17">
        <f ca="1"/>
        <v>33837.999999999993</v>
      </c>
      <c r="F99" s="17">
        <f ca="1"/>
        <v>33734.000000000007</v>
      </c>
      <c r="G99" s="17">
        <f ca="1"/>
        <v>34120.000000000007</v>
      </c>
      <c r="H99" s="17">
        <f ca="1"/>
        <v>39322</v>
      </c>
      <c r="I99" s="17">
        <f ca="1"/>
        <v>39141</v>
      </c>
      <c r="J99" s="17">
        <f ca="1"/>
        <v>43324</v>
      </c>
      <c r="K99" s="17">
        <f ca="1"/>
        <v>44589</v>
      </c>
      <c r="L99" s="17">
        <f ca="1"/>
        <v>39088</v>
      </c>
      <c r="M99" s="17">
        <f ca="1"/>
        <v>41431</v>
      </c>
      <c r="N99" s="17">
        <f ca="1"/>
        <v>43781</v>
      </c>
      <c r="O99" s="17">
        <f ca="1"/>
        <v>44646.000000000007</v>
      </c>
      <c r="P99" s="17">
        <f ca="1"/>
        <v>48207.999999999993</v>
      </c>
      <c r="Q99" s="17">
        <f ca="1"/>
        <v>44173</v>
      </c>
      <c r="R99" s="17">
        <f ca="1"/>
        <v>43963</v>
      </c>
      <c r="S99" s="17">
        <f ca="1"/>
        <v>43154</v>
      </c>
      <c r="T99" s="17">
        <f ca="1"/>
        <v>34143</v>
      </c>
      <c r="U99" s="17">
        <f ca="1"/>
        <v>37975</v>
      </c>
      <c r="V99" s="17">
        <f ca="1"/>
        <v>38475</v>
      </c>
      <c r="W99" s="17">
        <f ca="1"/>
        <v>43614</v>
      </c>
      <c r="X99" s="17">
        <f ca="1"/>
        <v>47699</v>
      </c>
    </row>
    <row r="100" spans="1:24" hidden="1" x14ac:dyDescent="0.2">
      <c r="A100" t="str">
        <f ca="1"/>
        <v>Indonesia</v>
      </c>
      <c r="B100" t="str">
        <f ca="1"/>
        <v>Historical Production</v>
      </c>
      <c r="C100" t="str">
        <f ca="1"/>
        <v>GWh</v>
      </c>
      <c r="D100" t="str">
        <f ca="1"/>
        <v>Transformation\Centralized Electricity Generation\Processes\Large Hydro</v>
      </c>
      <c r="E100" s="17">
        <f ca="1"/>
        <v>10725.000000000002</v>
      </c>
      <c r="F100" s="17">
        <f ca="1"/>
        <v>9623</v>
      </c>
      <c r="G100" s="17">
        <f ca="1"/>
        <v>11286.000000000002</v>
      </c>
      <c r="H100" s="17">
        <f ca="1"/>
        <v>11528</v>
      </c>
      <c r="I100" s="17">
        <f ca="1"/>
        <v>11384</v>
      </c>
      <c r="J100" s="17">
        <f ca="1"/>
        <v>17456</v>
      </c>
      <c r="K100" s="17">
        <f ca="1"/>
        <v>12419.000000000002</v>
      </c>
      <c r="L100" s="17">
        <f ca="1"/>
        <v>12799</v>
      </c>
      <c r="M100" s="17">
        <f ca="1"/>
        <v>16922.999999999996</v>
      </c>
      <c r="N100" s="17">
        <f ca="1"/>
        <v>15161</v>
      </c>
      <c r="O100" s="17">
        <f ca="1"/>
        <v>13741</v>
      </c>
      <c r="P100" s="17">
        <f ca="1"/>
        <v>18677</v>
      </c>
      <c r="Q100" s="17">
        <f ca="1"/>
        <v>18632</v>
      </c>
      <c r="R100" s="17">
        <f ca="1"/>
        <v>21613</v>
      </c>
      <c r="S100" s="17">
        <f ca="1"/>
        <v>21125</v>
      </c>
      <c r="T100" s="17">
        <f ca="1"/>
        <v>24289</v>
      </c>
      <c r="U100" s="17">
        <f ca="1"/>
        <v>24578</v>
      </c>
      <c r="V100" s="17">
        <f ca="1"/>
        <v>27161</v>
      </c>
      <c r="W100" s="17">
        <f ca="1"/>
        <v>24590</v>
      </c>
      <c r="X100" s="17">
        <f ca="1"/>
        <v>27138</v>
      </c>
    </row>
    <row r="101" spans="1:24" hidden="1" x14ac:dyDescent="0.2">
      <c r="A101" t="str">
        <f ca="1"/>
        <v>Indonesia</v>
      </c>
      <c r="B101" t="str">
        <f ca="1"/>
        <v>Historical Production</v>
      </c>
      <c r="C101" t="str">
        <f ca="1"/>
        <v>GWh</v>
      </c>
      <c r="D101" t="str">
        <f ca="1"/>
        <v>Transformation\Centralized Electricity Generation\Processes\Small Hydro</v>
      </c>
      <c r="E101" s="17">
        <f ca="1"/>
        <v>0</v>
      </c>
      <c r="F101" s="17">
        <f ca="1"/>
        <v>0</v>
      </c>
      <c r="G101" s="17">
        <f ca="1"/>
        <v>0</v>
      </c>
      <c r="H101" s="17">
        <f ca="1"/>
        <v>0</v>
      </c>
      <c r="I101" s="17">
        <f ca="1"/>
        <v>0</v>
      </c>
      <c r="J101" s="17">
        <f ca="1"/>
        <v>0</v>
      </c>
      <c r="K101" s="17">
        <f ca="1"/>
        <v>0</v>
      </c>
      <c r="L101" s="17">
        <f ca="1"/>
        <v>0</v>
      </c>
      <c r="M101" s="17">
        <f ca="1"/>
        <v>0</v>
      </c>
      <c r="N101" s="17">
        <f ca="1"/>
        <v>0</v>
      </c>
      <c r="O101" s="17">
        <f ca="1"/>
        <v>0</v>
      </c>
      <c r="P101" s="17">
        <f ca="1"/>
        <v>0</v>
      </c>
      <c r="Q101" s="17">
        <f ca="1"/>
        <v>0</v>
      </c>
      <c r="R101" s="17">
        <f ca="1"/>
        <v>24</v>
      </c>
      <c r="S101" s="17">
        <f ca="1"/>
        <v>36</v>
      </c>
      <c r="T101" s="17">
        <f ca="1"/>
        <v>36</v>
      </c>
      <c r="U101" s="17">
        <f ca="1"/>
        <v>119</v>
      </c>
      <c r="V101" s="17">
        <f ca="1"/>
        <v>134</v>
      </c>
      <c r="W101" s="17">
        <f ca="1"/>
        <v>0</v>
      </c>
      <c r="X101" s="17">
        <f ca="1"/>
        <v>152</v>
      </c>
    </row>
    <row r="102" spans="1:24" hidden="1" x14ac:dyDescent="0.2">
      <c r="A102" t="str">
        <f ca="1"/>
        <v>Indonesia</v>
      </c>
      <c r="B102" t="str">
        <f ca="1"/>
        <v>Historical Production</v>
      </c>
      <c r="C102" t="str">
        <f ca="1"/>
        <v>GWh</v>
      </c>
      <c r="D102" t="str">
        <f ca="1"/>
        <v>Transformation\Centralized Electricity Generation\Processes\Geothermal Flash</v>
      </c>
      <c r="E102" s="17">
        <f ca="1"/>
        <v>6604.0000000000009</v>
      </c>
      <c r="F102" s="17">
        <f ca="1"/>
        <v>6657.9999999999991</v>
      </c>
      <c r="G102" s="17">
        <f ca="1"/>
        <v>7020.9999999999982</v>
      </c>
      <c r="H102" s="17">
        <f ca="1"/>
        <v>8309.0000000000018</v>
      </c>
      <c r="I102" s="17">
        <f ca="1"/>
        <v>9294.9999999999982</v>
      </c>
      <c r="J102" s="17">
        <f ca="1"/>
        <v>9357</v>
      </c>
      <c r="K102" s="17">
        <f ca="1"/>
        <v>9371</v>
      </c>
      <c r="L102" s="17">
        <f ca="1"/>
        <v>9416</v>
      </c>
      <c r="M102" s="17">
        <f ca="1"/>
        <v>9413.9999999999982</v>
      </c>
      <c r="N102" s="17">
        <f ca="1"/>
        <v>10039</v>
      </c>
      <c r="O102" s="17">
        <f ca="1"/>
        <v>10047</v>
      </c>
      <c r="P102" s="17">
        <f ca="1"/>
        <v>10656.000000000002</v>
      </c>
      <c r="Q102" s="17">
        <f ca="1"/>
        <v>12764</v>
      </c>
      <c r="R102" s="17">
        <f ca="1"/>
        <v>14019</v>
      </c>
      <c r="S102" s="17">
        <f ca="1"/>
        <v>14100</v>
      </c>
      <c r="T102" s="17">
        <f ca="1"/>
        <v>15563</v>
      </c>
      <c r="U102" s="17">
        <f ca="1"/>
        <v>15899</v>
      </c>
      <c r="V102" s="17">
        <f ca="1"/>
        <v>16677</v>
      </c>
      <c r="W102" s="17">
        <f ca="1"/>
        <v>16936</v>
      </c>
      <c r="X102" s="17">
        <f ca="1"/>
        <v>16763</v>
      </c>
    </row>
    <row r="103" spans="1:24" hidden="1" x14ac:dyDescent="0.2">
      <c r="A103" t="str">
        <f ca="1"/>
        <v>Indonesia</v>
      </c>
      <c r="B103" t="str">
        <f ca="1"/>
        <v>Historical Production</v>
      </c>
      <c r="C103" t="str">
        <f ca="1"/>
        <v>GWh</v>
      </c>
      <c r="D103" t="str">
        <f ca="1"/>
        <v>Transformation\Centralized Electricity Generation\Processes\Solar PV</v>
      </c>
      <c r="E103" s="17">
        <f ca="1"/>
        <v>0</v>
      </c>
      <c r="F103" s="17">
        <f ca="1"/>
        <v>0</v>
      </c>
      <c r="G103" s="17">
        <f ca="1"/>
        <v>0</v>
      </c>
      <c r="H103" s="17">
        <f ca="1"/>
        <v>0</v>
      </c>
      <c r="I103" s="17">
        <f ca="1"/>
        <v>0</v>
      </c>
      <c r="J103" s="17">
        <f ca="1"/>
        <v>0.51700000000000002</v>
      </c>
      <c r="K103" s="17">
        <f ca="1"/>
        <v>0.77300000000000002</v>
      </c>
      <c r="L103" s="17">
        <f ca="1"/>
        <v>3.0119999999999996</v>
      </c>
      <c r="M103" s="17">
        <f ca="1"/>
        <v>5.4970000000000008</v>
      </c>
      <c r="N103" s="17">
        <f ca="1"/>
        <v>6.8140000000000001</v>
      </c>
      <c r="O103" s="17">
        <f ca="1"/>
        <v>5.2770000000000001</v>
      </c>
      <c r="P103" s="17">
        <f ca="1"/>
        <v>21.091999999999995</v>
      </c>
      <c r="Q103" s="17">
        <f ca="1"/>
        <v>29.049999999999994</v>
      </c>
      <c r="R103" s="17">
        <f ca="1"/>
        <v>90.27</v>
      </c>
      <c r="S103" s="17">
        <f ca="1"/>
        <v>118.28</v>
      </c>
      <c r="T103" s="17">
        <f ca="1"/>
        <v>170.97</v>
      </c>
      <c r="U103" s="17">
        <f ca="1"/>
        <v>192.62</v>
      </c>
      <c r="V103" s="17">
        <f ca="1"/>
        <v>443.73</v>
      </c>
      <c r="W103" s="17">
        <f ca="1"/>
        <v>712.87</v>
      </c>
      <c r="X103" s="17">
        <f ca="1"/>
        <v>1350.98</v>
      </c>
    </row>
    <row r="104" spans="1:24" hidden="1" x14ac:dyDescent="0.2">
      <c r="A104" t="str">
        <f ca="1"/>
        <v>Indonesia</v>
      </c>
      <c r="B104" t="str">
        <f ca="1"/>
        <v>Historical Production</v>
      </c>
      <c r="C104" t="str">
        <f ca="1"/>
        <v>GWh</v>
      </c>
      <c r="D104" t="str">
        <f ca="1"/>
        <v>Transformation\Centralized Electricity Generation\Processes\Wind Onshore</v>
      </c>
      <c r="E104" s="17">
        <f ca="1"/>
        <v>0</v>
      </c>
      <c r="F104" s="17">
        <f ca="1"/>
        <v>0</v>
      </c>
      <c r="G104" s="17">
        <f ca="1"/>
        <v>2.0000000000000004E-2</v>
      </c>
      <c r="H104" s="17">
        <f ca="1"/>
        <v>0.3</v>
      </c>
      <c r="I104" s="17">
        <f ca="1"/>
        <v>3.7</v>
      </c>
      <c r="J104" s="17">
        <f ca="1"/>
        <v>3.63</v>
      </c>
      <c r="K104" s="17">
        <f ca="1"/>
        <v>4.7000000000000011</v>
      </c>
      <c r="L104" s="17">
        <f ca="1"/>
        <v>4.6000000000000014</v>
      </c>
      <c r="M104" s="17">
        <f ca="1"/>
        <v>0.1</v>
      </c>
      <c r="N104" s="17">
        <f ca="1"/>
        <v>0</v>
      </c>
      <c r="O104" s="17">
        <f ca="1"/>
        <v>3.6999999999999993</v>
      </c>
      <c r="P104" s="17">
        <f ca="1"/>
        <v>5.7</v>
      </c>
      <c r="Q104" s="17">
        <f ca="1"/>
        <v>0</v>
      </c>
      <c r="R104" s="17">
        <f ca="1"/>
        <v>190</v>
      </c>
      <c r="S104" s="17">
        <f ca="1"/>
        <v>484</v>
      </c>
      <c r="T104" s="17">
        <f ca="1"/>
        <v>475</v>
      </c>
      <c r="U104" s="17">
        <f ca="1"/>
        <v>437</v>
      </c>
      <c r="V104" s="17">
        <f ca="1"/>
        <v>356</v>
      </c>
      <c r="W104" s="17">
        <f ca="1"/>
        <v>481</v>
      </c>
      <c r="X104" s="17">
        <f ca="1"/>
        <v>467</v>
      </c>
    </row>
    <row r="105" spans="1:24" hidden="1" x14ac:dyDescent="0.2">
      <c r="A105" t="str">
        <f ca="1"/>
        <v>Indonesia</v>
      </c>
      <c r="B105" t="str">
        <f ca="1"/>
        <v>Historical Production</v>
      </c>
      <c r="C105" t="str">
        <f ca="1"/>
        <v>GWh</v>
      </c>
      <c r="D105" t="str">
        <f ca="1"/>
        <v>Transformation\Centralized Electricity Generation\Processes\Biomass Other</v>
      </c>
      <c r="E105" s="17">
        <f ca="1"/>
        <v>0</v>
      </c>
      <c r="F105" s="17">
        <f ca="1"/>
        <v>0</v>
      </c>
      <c r="G105" s="17">
        <f ca="1"/>
        <v>0</v>
      </c>
      <c r="H105" s="17">
        <f ca="1"/>
        <v>0</v>
      </c>
      <c r="I105" s="17">
        <f ca="1"/>
        <v>0</v>
      </c>
      <c r="J105" s="17">
        <f ca="1"/>
        <v>0</v>
      </c>
      <c r="K105" s="17">
        <f ca="1"/>
        <v>0</v>
      </c>
      <c r="L105" s="17">
        <f ca="1"/>
        <v>0</v>
      </c>
      <c r="M105" s="17">
        <f ca="1"/>
        <v>0</v>
      </c>
      <c r="N105" s="17">
        <f ca="1"/>
        <v>0</v>
      </c>
      <c r="O105" s="17">
        <f ca="1"/>
        <v>0</v>
      </c>
      <c r="P105" s="17">
        <f ca="1"/>
        <v>0</v>
      </c>
      <c r="Q105" s="17">
        <f ca="1"/>
        <v>0</v>
      </c>
      <c r="R105" s="17">
        <f ca="1"/>
        <v>15706</v>
      </c>
      <c r="S105" s="17">
        <f ca="1"/>
        <v>15283</v>
      </c>
      <c r="T105" s="17">
        <f ca="1"/>
        <v>12984</v>
      </c>
      <c r="U105" s="17">
        <f ca="1"/>
        <v>15254</v>
      </c>
      <c r="V105" s="17">
        <f ca="1"/>
        <v>20442</v>
      </c>
      <c r="W105" s="17">
        <f ca="1"/>
        <v>24326</v>
      </c>
      <c r="X105" s="17">
        <f ca="1"/>
        <v>23938.010000000002</v>
      </c>
    </row>
    <row r="106" spans="1:24" hidden="1" x14ac:dyDescent="0.2">
      <c r="A106" t="str">
        <f ca="1"/>
        <v>Indonesia</v>
      </c>
      <c r="B106" t="str">
        <f ca="1"/>
        <v>Historical Production</v>
      </c>
      <c r="C106" t="str">
        <f ca="1"/>
        <v>GWh</v>
      </c>
      <c r="D106" t="str">
        <f ca="1"/>
        <v>Transformation\Centralized Electricity Generation\Processes\Biogas</v>
      </c>
      <c r="E106" s="17">
        <f ca="1"/>
        <v>0</v>
      </c>
      <c r="F106" s="17">
        <f ca="1"/>
        <v>0</v>
      </c>
      <c r="G106" s="17">
        <f ca="1"/>
        <v>0</v>
      </c>
      <c r="H106" s="17">
        <f ca="1"/>
        <v>0</v>
      </c>
      <c r="I106" s="17">
        <f ca="1"/>
        <v>0</v>
      </c>
      <c r="J106" s="17">
        <f ca="1"/>
        <v>0</v>
      </c>
      <c r="K106" s="17">
        <f ca="1"/>
        <v>0</v>
      </c>
      <c r="L106" s="17">
        <f ca="1"/>
        <v>0</v>
      </c>
      <c r="M106" s="17">
        <f ca="1"/>
        <v>0</v>
      </c>
      <c r="N106" s="17">
        <f ca="1"/>
        <v>0</v>
      </c>
      <c r="O106" s="17">
        <f ca="1"/>
        <v>0</v>
      </c>
      <c r="P106" s="17">
        <f ca="1"/>
        <v>0</v>
      </c>
      <c r="Q106" s="17">
        <f ca="1"/>
        <v>0</v>
      </c>
      <c r="R106" s="17">
        <f ca="1"/>
        <v>573</v>
      </c>
      <c r="S106" s="17">
        <f ca="1"/>
        <v>618</v>
      </c>
      <c r="T106" s="17">
        <f ca="1"/>
        <v>799</v>
      </c>
      <c r="U106" s="17">
        <f ca="1"/>
        <v>940</v>
      </c>
      <c r="V106" s="17">
        <f ca="1"/>
        <v>1044</v>
      </c>
      <c r="W106" s="17">
        <f ca="1"/>
        <v>1012</v>
      </c>
      <c r="X106" s="17">
        <f ca="1"/>
        <v>1114</v>
      </c>
    </row>
    <row r="107" spans="1:24" hidden="1" x14ac:dyDescent="0.2">
      <c r="A107" t="str">
        <f ca="1"/>
        <v>Indonesia</v>
      </c>
      <c r="B107" t="str">
        <f ca="1"/>
        <v>Historical Production</v>
      </c>
      <c r="C107" t="str">
        <f ca="1"/>
        <v>GWh</v>
      </c>
      <c r="D107" t="str">
        <f ca="1"/>
        <v>Transformation\Centralized Electricity Generation\Processes\Waste</v>
      </c>
      <c r="E107" s="17">
        <f ca="1"/>
        <v>0</v>
      </c>
      <c r="F107" s="17">
        <f ca="1"/>
        <v>0</v>
      </c>
      <c r="G107" s="17">
        <f ca="1"/>
        <v>0</v>
      </c>
      <c r="H107" s="17">
        <f ca="1"/>
        <v>0</v>
      </c>
      <c r="I107" s="17">
        <f ca="1"/>
        <v>0</v>
      </c>
      <c r="J107" s="17">
        <f ca="1"/>
        <v>0</v>
      </c>
      <c r="K107" s="17">
        <f ca="1"/>
        <v>30.900000000000009</v>
      </c>
      <c r="L107" s="17">
        <f ca="1"/>
        <v>30.900000000000009</v>
      </c>
      <c r="M107" s="17">
        <f ca="1"/>
        <v>40.79999999999999</v>
      </c>
      <c r="N107" s="17">
        <f ca="1"/>
        <v>35.5</v>
      </c>
      <c r="O107" s="17">
        <f ca="1"/>
        <v>19.399999999999999</v>
      </c>
      <c r="P107" s="17">
        <f ca="1"/>
        <v>5.9</v>
      </c>
      <c r="Q107" s="17">
        <f ca="1"/>
        <v>590.39999999999986</v>
      </c>
      <c r="R107" s="17">
        <f ca="1"/>
        <v>0</v>
      </c>
      <c r="S107" s="17">
        <f ca="1"/>
        <v>21</v>
      </c>
      <c r="T107" s="17">
        <f ca="1"/>
        <v>17</v>
      </c>
      <c r="U107" s="17">
        <f ca="1"/>
        <v>11</v>
      </c>
      <c r="V107" s="17">
        <f ca="1"/>
        <v>44</v>
      </c>
      <c r="W107" s="17">
        <f ca="1"/>
        <v>61</v>
      </c>
      <c r="X107" s="17">
        <f ca="1"/>
        <v>60</v>
      </c>
    </row>
    <row r="108" spans="1:24" hidden="1" x14ac:dyDescent="0.2">
      <c r="A108" t="s">
        <v>20</v>
      </c>
      <c r="B108" t="s">
        <v>3</v>
      </c>
      <c r="C108" t="str">
        <f>IF(B108="Existing Capacity", "MW", "GWh")</f>
        <v>GWh</v>
      </c>
      <c r="D108" t="str" cm="1">
        <f t="array" aca="1" ref="D108:X111" ca="1">_xlfn.LET(_xlpm.country,A108,
_xlpm.table,INDIRECT(IF(B108="Existing Capacity",_xlpm.country,_xlpm.country&amp;"_HP")),
_xlpm.val,_xlfn._xlws.FILTER(_xlfn.HSTACK(leap[Branch Path],leap[[2005]:[2024]]),(leap[Region]=A108)*(leap[Variable]=B108)),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108" s="17">
        <f ca="1"/>
        <v>0</v>
      </c>
      <c r="F108" s="17">
        <f ca="1"/>
        <v>0</v>
      </c>
      <c r="G108" s="17">
        <f ca="1"/>
        <v>0</v>
      </c>
      <c r="H108" s="17">
        <f ca="1"/>
        <v>0</v>
      </c>
      <c r="I108" s="17">
        <f ca="1"/>
        <v>0</v>
      </c>
      <c r="J108" s="17">
        <f ca="1"/>
        <v>0</v>
      </c>
      <c r="K108" s="17">
        <f ca="1"/>
        <v>0</v>
      </c>
      <c r="L108" s="17">
        <f ca="1"/>
        <v>0</v>
      </c>
      <c r="M108" s="17">
        <f ca="1"/>
        <v>0</v>
      </c>
      <c r="N108" s="17">
        <f ca="1"/>
        <v>0</v>
      </c>
      <c r="O108" s="17">
        <f ca="1"/>
        <v>2245.5</v>
      </c>
      <c r="P108" s="17">
        <f ca="1"/>
        <v>7961.9</v>
      </c>
      <c r="Q108" s="17">
        <f ca="1"/>
        <v>10927.2</v>
      </c>
      <c r="R108" s="17">
        <f ca="1"/>
        <v>13655.81685980459</v>
      </c>
      <c r="S108" s="17">
        <f ca="1"/>
        <v>12958.611679163827</v>
      </c>
      <c r="T108" s="17">
        <f ca="1"/>
        <v>12900.651737105203</v>
      </c>
      <c r="U108" s="17">
        <f ca="1"/>
        <v>11881</v>
      </c>
      <c r="V108" s="17">
        <f ca="1"/>
        <v>12179</v>
      </c>
      <c r="W108" s="17">
        <f ca="1"/>
        <v>12179</v>
      </c>
      <c r="X108" s="17">
        <f ca="1"/>
        <v>12366.501254042101</v>
      </c>
    </row>
    <row r="109" spans="1:24" hidden="1" x14ac:dyDescent="0.2">
      <c r="A109" t="str" cm="1">
        <f t="array" aca="1" ref="A109:A111" ca="1">_xlfn.TOCOL(IF(_xlfn.SEQUENCE(, ROWS(_xlfn.ANCHORARRAY(D108))-1)&lt;=ROWS(_xlfn.ANCHORARRAY(D108))-1,A108,NA()))</f>
        <v>Laos</v>
      </c>
      <c r="B109" t="str" cm="1">
        <f t="array" aca="1" ref="B109:B111" ca="1">_xlfn.TOCOL(IF(_xlfn.SEQUENCE(, ROWS(_xlfn.ANCHORARRAY(D108))-1)&lt;=ROWS(_xlfn.ANCHORARRAY(D108))-1,B108,NA()))</f>
        <v>Historical Production</v>
      </c>
      <c r="C109" t="str" cm="1">
        <f t="array" aca="1" ref="C109:C111" ca="1">_xlfn.TOCOL(IF(_xlfn.SEQUENCE(, ROWS(_xlfn.ANCHORARRAY(D108))-1)&lt;=ROWS(_xlfn.ANCHORARRAY(D108))-1,C108,NA()))</f>
        <v>GWh</v>
      </c>
      <c r="D109" t="str">
        <f ca="1"/>
        <v>Transformation\Centralized Electricity Generation\Processes\Large Hydro</v>
      </c>
      <c r="E109" s="17">
        <f ca="1"/>
        <v>3510</v>
      </c>
      <c r="F109" s="17">
        <f ca="1"/>
        <v>3595.8</v>
      </c>
      <c r="G109" s="17">
        <f ca="1"/>
        <v>3373.6</v>
      </c>
      <c r="H109" s="17">
        <f ca="1"/>
        <v>3717</v>
      </c>
      <c r="I109" s="17">
        <f ca="1"/>
        <v>3384.3</v>
      </c>
      <c r="J109" s="17">
        <f ca="1"/>
        <v>8449.01</v>
      </c>
      <c r="K109" s="17">
        <f ca="1"/>
        <v>12980.1</v>
      </c>
      <c r="L109" s="17">
        <f ca="1"/>
        <v>12760.1</v>
      </c>
      <c r="M109" s="17">
        <f ca="1"/>
        <v>15506.5</v>
      </c>
      <c r="N109" s="17">
        <f ca="1"/>
        <v>15633.3</v>
      </c>
      <c r="O109" s="17">
        <f ca="1"/>
        <v>14252</v>
      </c>
      <c r="P109" s="17">
        <f ca="1"/>
        <v>17348.5</v>
      </c>
      <c r="Q109" s="17">
        <f ca="1"/>
        <v>20361.400000000001</v>
      </c>
      <c r="R109" s="17">
        <f ca="1"/>
        <v>22998.908666122446</v>
      </c>
      <c r="S109" s="17">
        <f ca="1"/>
        <v>20140.37755102041</v>
      </c>
      <c r="T109" s="17">
        <f ca="1"/>
        <v>29089.748360403573</v>
      </c>
      <c r="U109" s="17">
        <f ca="1"/>
        <v>32917</v>
      </c>
      <c r="V109" s="17">
        <f ca="1"/>
        <v>38736</v>
      </c>
      <c r="W109" s="17">
        <f ca="1"/>
        <v>37248.641418367348</v>
      </c>
      <c r="X109" s="17">
        <f ca="1"/>
        <v>40424.5430614703</v>
      </c>
    </row>
    <row r="110" spans="1:24" hidden="1" x14ac:dyDescent="0.2">
      <c r="A110" t="str">
        <f ca="1"/>
        <v>Laos</v>
      </c>
      <c r="B110" t="str">
        <f ca="1"/>
        <v>Historical Production</v>
      </c>
      <c r="C110" t="str">
        <f ca="1"/>
        <v>GWh</v>
      </c>
      <c r="D110" t="str">
        <f ca="1"/>
        <v>Transformation\Centralized Electricity Generation\Processes\Solar PV</v>
      </c>
      <c r="E110" s="17">
        <f ca="1"/>
        <v>0.41</v>
      </c>
      <c r="F110" s="17">
        <f ca="1"/>
        <v>0.41</v>
      </c>
      <c r="G110" s="17">
        <f ca="1"/>
        <v>0.41</v>
      </c>
      <c r="H110" s="17">
        <f ca="1"/>
        <v>0.41</v>
      </c>
      <c r="I110" s="17">
        <f ca="1"/>
        <v>0.56999999999999995</v>
      </c>
      <c r="J110" s="17">
        <f ca="1"/>
        <v>0.66</v>
      </c>
      <c r="K110" s="17">
        <f ca="1"/>
        <v>0.64</v>
      </c>
      <c r="L110" s="17">
        <f ca="1"/>
        <v>0.7</v>
      </c>
      <c r="M110" s="17">
        <f ca="1"/>
        <v>0.82</v>
      </c>
      <c r="N110" s="17">
        <f ca="1"/>
        <v>0.83</v>
      </c>
      <c r="O110" s="17">
        <f ca="1"/>
        <v>1.1399999999999999</v>
      </c>
      <c r="P110" s="17">
        <f ca="1"/>
        <v>1.47</v>
      </c>
      <c r="Q110" s="17">
        <f ca="1"/>
        <v>8.98</v>
      </c>
      <c r="R110" s="17">
        <f ca="1"/>
        <v>59.819507199999997</v>
      </c>
      <c r="S110" s="17">
        <f ca="1"/>
        <v>41.32</v>
      </c>
      <c r="T110" s="17">
        <f ca="1"/>
        <v>61.578079000000002</v>
      </c>
      <c r="U110" s="17">
        <f ca="1"/>
        <v>67</v>
      </c>
      <c r="V110" s="17">
        <f ca="1"/>
        <v>79</v>
      </c>
      <c r="W110" s="17">
        <f ca="1"/>
        <v>95.825337755102055</v>
      </c>
      <c r="X110" s="17">
        <f ca="1"/>
        <v>114.15640500000001</v>
      </c>
    </row>
    <row r="111" spans="1:24" hidden="1" x14ac:dyDescent="0.2">
      <c r="A111" t="str">
        <f ca="1"/>
        <v>Laos</v>
      </c>
      <c r="B111" t="str">
        <f ca="1"/>
        <v>Historical Production</v>
      </c>
      <c r="C111" t="str">
        <f ca="1"/>
        <v>GWh</v>
      </c>
      <c r="D111" t="str">
        <f ca="1"/>
        <v>Transformation\Centralized Electricity Generation\Processes\Biomass Other</v>
      </c>
      <c r="E111" s="17">
        <f ca="1"/>
        <v>0</v>
      </c>
      <c r="F111" s="17">
        <f ca="1"/>
        <v>0</v>
      </c>
      <c r="G111" s="17">
        <f ca="1"/>
        <v>0</v>
      </c>
      <c r="H111" s="17">
        <f ca="1"/>
        <v>0</v>
      </c>
      <c r="I111" s="17">
        <f ca="1"/>
        <v>0</v>
      </c>
      <c r="J111" s="17">
        <f ca="1"/>
        <v>0</v>
      </c>
      <c r="K111" s="17">
        <f ca="1"/>
        <v>0</v>
      </c>
      <c r="L111" s="17">
        <f ca="1"/>
        <v>0</v>
      </c>
      <c r="M111" s="17">
        <f ca="1"/>
        <v>5.4</v>
      </c>
      <c r="N111" s="17">
        <f ca="1"/>
        <v>5.2</v>
      </c>
      <c r="O111" s="17">
        <f ca="1"/>
        <v>3.56</v>
      </c>
      <c r="P111" s="17">
        <f ca="1"/>
        <v>4.7300000000000004</v>
      </c>
      <c r="Q111" s="17">
        <f ca="1"/>
        <v>26.16</v>
      </c>
      <c r="R111" s="17">
        <f ca="1"/>
        <v>46.836734693877553</v>
      </c>
      <c r="S111" s="17">
        <f ca="1"/>
        <v>48.265306122448976</v>
      </c>
      <c r="T111" s="17">
        <f ca="1"/>
        <v>58.17811224489796</v>
      </c>
      <c r="U111" s="17">
        <f ca="1"/>
        <v>48.7</v>
      </c>
      <c r="V111" s="17">
        <f ca="1"/>
        <v>36</v>
      </c>
      <c r="W111" s="17">
        <f ca="1"/>
        <v>27.589676530612245</v>
      </c>
      <c r="X111" s="17">
        <f ca="1"/>
        <v>39.442900999999999</v>
      </c>
    </row>
    <row r="112" spans="1:24" x14ac:dyDescent="0.2">
      <c r="A112" t="s">
        <v>22</v>
      </c>
      <c r="B112" t="s">
        <v>3</v>
      </c>
      <c r="C112" t="str">
        <f>IF(B112="Existing Capacity", "MW", "GWh")</f>
        <v>GWh</v>
      </c>
      <c r="D112" t="str" cm="1">
        <f t="array" aca="1" ref="D112:X119" ca="1">_xlfn.LET(_xlpm.country,A112,
_xlpm.table,INDIRECT(IF(B112="Existing Capacity",_xlpm.country,_xlpm.country&amp;"_HP")),
_xlpm.val,_xlfn._xlws.FILTER(_xlfn.HSTACK(leap[Branch Path],leap[[2005]:[2024]]),(leap[Region]=A112)*(leap[Variable]=B112)),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112" s="17">
        <f ca="1"/>
        <v>24228.000000000004</v>
      </c>
      <c r="F112" s="17">
        <f ca="1"/>
        <v>26527</v>
      </c>
      <c r="G112" s="17">
        <f ca="1"/>
        <v>32932.000000000007</v>
      </c>
      <c r="H112" s="17">
        <f ca="1"/>
        <v>36585.000000000007</v>
      </c>
      <c r="I112" s="17">
        <f ca="1"/>
        <v>44329.000000000007</v>
      </c>
      <c r="J112" s="17">
        <f ca="1"/>
        <v>47595</v>
      </c>
      <c r="K112" s="17">
        <f ca="1"/>
        <v>48932.000000000007</v>
      </c>
      <c r="L112" s="17">
        <f ca="1"/>
        <v>52584.000000000007</v>
      </c>
      <c r="M112" s="17">
        <f ca="1"/>
        <v>50747</v>
      </c>
      <c r="N112" s="17">
        <f ca="1"/>
        <v>50536</v>
      </c>
      <c r="O112" s="17">
        <f ca="1"/>
        <v>52004.000000000007</v>
      </c>
      <c r="P112" s="17">
        <f ca="1"/>
        <v>51853</v>
      </c>
      <c r="Q112" s="17">
        <f ca="1"/>
        <v>51642.999999999993</v>
      </c>
      <c r="R112" s="17">
        <f ca="1"/>
        <v>61828.800000000003</v>
      </c>
      <c r="S112" s="17">
        <f ca="1"/>
        <v>61128.800000000003</v>
      </c>
      <c r="T112" s="17">
        <f ca="1"/>
        <v>71100.288000000015</v>
      </c>
      <c r="U112" s="17">
        <f ca="1"/>
        <v>67867.325759999992</v>
      </c>
      <c r="V112" s="17">
        <f ca="1"/>
        <v>65777.600000000006</v>
      </c>
      <c r="W112" s="17">
        <f ca="1"/>
        <v>68496</v>
      </c>
      <c r="X112" s="17">
        <f ca="1"/>
        <v>71604</v>
      </c>
    </row>
    <row r="113" spans="1:24" x14ac:dyDescent="0.2">
      <c r="A113" t="str" cm="1">
        <f t="array" aca="1" ref="A113:A119" ca="1">_xlfn.TOCOL(IF(_xlfn.SEQUENCE(, ROWS(_xlfn.ANCHORARRAY(D112))-1)&lt;=ROWS(_xlfn.ANCHORARRAY(D112))-1,A112,NA()))</f>
        <v>Malaysia</v>
      </c>
      <c r="B113" t="str" cm="1">
        <f t="array" aca="1" ref="B113:B119" ca="1">_xlfn.TOCOL(IF(_xlfn.SEQUENCE(, ROWS(_xlfn.ANCHORARRAY(D112))-1)&lt;=ROWS(_xlfn.ANCHORARRAY(D112))-1,B112,NA()))</f>
        <v>Historical Production</v>
      </c>
      <c r="C113" t="str" cm="1">
        <f t="array" aca="1" ref="C113:C119" ca="1">_xlfn.TOCOL(IF(_xlfn.SEQUENCE(, ROWS(_xlfn.ANCHORARRAY(D112))-1)&lt;=ROWS(_xlfn.ANCHORARRAY(D112))-1,C112,NA()))</f>
        <v>GWh</v>
      </c>
      <c r="D113" t="str">
        <f ca="1"/>
        <v>Transformation\Centralized Electricity Generation\Processes\Coal Ultrasupercritical</v>
      </c>
      <c r="E113" s="17">
        <f ca="1"/>
        <v>0</v>
      </c>
      <c r="F113" s="17">
        <f ca="1"/>
        <v>0</v>
      </c>
      <c r="G113" s="17">
        <f ca="1"/>
        <v>0</v>
      </c>
      <c r="H113" s="17">
        <f ca="1"/>
        <v>0</v>
      </c>
      <c r="I113" s="17">
        <f ca="1"/>
        <v>0</v>
      </c>
      <c r="J113" s="17">
        <f ca="1"/>
        <v>0</v>
      </c>
      <c r="K113" s="17">
        <f ca="1"/>
        <v>0</v>
      </c>
      <c r="L113" s="17">
        <f ca="1"/>
        <v>0</v>
      </c>
      <c r="M113" s="17">
        <f ca="1"/>
        <v>0</v>
      </c>
      <c r="N113" s="17">
        <f ca="1"/>
        <v>0</v>
      </c>
      <c r="O113" s="17">
        <f ca="1"/>
        <v>4655.0000000000009</v>
      </c>
      <c r="P113" s="17">
        <f ca="1"/>
        <v>11304</v>
      </c>
      <c r="Q113" s="17">
        <f ca="1"/>
        <v>14050.000000000004</v>
      </c>
      <c r="R113" s="17">
        <f ca="1"/>
        <v>15457.2</v>
      </c>
      <c r="S113" s="17">
        <f ca="1"/>
        <v>15282.2</v>
      </c>
      <c r="T113" s="17">
        <f ca="1"/>
        <v>17775.072000000004</v>
      </c>
      <c r="U113" s="17">
        <f ca="1"/>
        <v>16966.831439999998</v>
      </c>
      <c r="V113" s="17">
        <f ca="1"/>
        <v>16444.400000000001</v>
      </c>
      <c r="W113" s="17">
        <f ca="1"/>
        <v>17124</v>
      </c>
      <c r="X113" s="17">
        <f ca="1"/>
        <v>17901</v>
      </c>
    </row>
    <row r="114" spans="1:24" x14ac:dyDescent="0.2">
      <c r="A114" t="str">
        <f ca="1"/>
        <v>Malaysia</v>
      </c>
      <c r="B114" t="str">
        <f ca="1"/>
        <v>Historical Production</v>
      </c>
      <c r="C114" t="str">
        <f ca="1"/>
        <v>GWh</v>
      </c>
      <c r="D114" t="str">
        <f ca="1"/>
        <v>Transformation\Centralized Electricity Generation\Processes\Diesel</v>
      </c>
      <c r="E114" s="17">
        <f ca="1"/>
        <v>1395.9999999999998</v>
      </c>
      <c r="F114" s="17">
        <f ca="1"/>
        <v>1908.0000000000002</v>
      </c>
      <c r="G114" s="17">
        <f ca="1"/>
        <v>1768.0000000000002</v>
      </c>
      <c r="H114" s="17">
        <f ca="1"/>
        <v>1649</v>
      </c>
      <c r="I114" s="17">
        <f ca="1"/>
        <v>1725.9999999999998</v>
      </c>
      <c r="J114" s="17">
        <f ca="1"/>
        <v>1659</v>
      </c>
      <c r="K114" s="17">
        <f ca="1"/>
        <v>9403.0000000000018</v>
      </c>
      <c r="L114" s="17">
        <f ca="1"/>
        <v>6014</v>
      </c>
      <c r="M114" s="17">
        <f ca="1"/>
        <v>5339.0000000000018</v>
      </c>
      <c r="N114" s="17">
        <f ca="1"/>
        <v>3490</v>
      </c>
      <c r="O114" s="17">
        <f ca="1"/>
        <v>1739</v>
      </c>
      <c r="P114" s="17">
        <f ca="1"/>
        <v>1184</v>
      </c>
      <c r="Q114" s="17">
        <f ca="1"/>
        <v>1695</v>
      </c>
      <c r="R114" s="17">
        <f ca="1"/>
        <v>929</v>
      </c>
      <c r="S114" s="17">
        <f ca="1"/>
        <v>1010</v>
      </c>
      <c r="T114" s="17">
        <f ca="1"/>
        <v>845.96027600000002</v>
      </c>
      <c r="U114" s="17">
        <f ca="1"/>
        <v>975.21510562000003</v>
      </c>
      <c r="V114" s="17">
        <f ca="1"/>
        <v>2803</v>
      </c>
      <c r="W114" s="17">
        <f ca="1"/>
        <v>2752</v>
      </c>
      <c r="X114" s="17">
        <f ca="1"/>
        <v>1238</v>
      </c>
    </row>
    <row r="115" spans="1:24" x14ac:dyDescent="0.2">
      <c r="A115" t="str">
        <f ca="1"/>
        <v>Malaysia</v>
      </c>
      <c r="B115" t="str">
        <f ca="1"/>
        <v>Historical Production</v>
      </c>
      <c r="C115" t="str">
        <f ca="1"/>
        <v>GWh</v>
      </c>
      <c r="D115" t="str">
        <f ca="1"/>
        <v>Transformation\Centralized Electricity Generation\Processes\Gas Combined Cycle</v>
      </c>
      <c r="E115" s="17">
        <f ca="1"/>
        <v>61396</v>
      </c>
      <c r="F115" s="17">
        <f ca="1"/>
        <v>64768.000000000007</v>
      </c>
      <c r="G115" s="17">
        <f ca="1"/>
        <v>65568</v>
      </c>
      <c r="H115" s="17">
        <f ca="1"/>
        <v>67779.000000000015</v>
      </c>
      <c r="I115" s="17">
        <f ca="1"/>
        <v>63370.000000000015</v>
      </c>
      <c r="J115" s="17">
        <f ca="1"/>
        <v>61342</v>
      </c>
      <c r="K115" s="17">
        <f ca="1"/>
        <v>55732</v>
      </c>
      <c r="L115" s="17">
        <f ca="1"/>
        <v>62699</v>
      </c>
      <c r="M115" s="17">
        <f ca="1"/>
        <v>67760.999999999985</v>
      </c>
      <c r="N115" s="17">
        <f ca="1"/>
        <v>73836.000000000015</v>
      </c>
      <c r="O115" s="17">
        <f ca="1"/>
        <v>69962.000000000015</v>
      </c>
      <c r="P115" s="17">
        <f ca="1"/>
        <v>66833</v>
      </c>
      <c r="Q115" s="17">
        <f ca="1"/>
        <v>62131.000000000007</v>
      </c>
      <c r="R115" s="17">
        <f ca="1"/>
        <v>64053</v>
      </c>
      <c r="S115" s="17">
        <f ca="1"/>
        <v>72280</v>
      </c>
      <c r="T115" s="17">
        <f ca="1"/>
        <v>53690.939371240791</v>
      </c>
      <c r="U115" s="17">
        <f ca="1"/>
        <v>58418.957144864005</v>
      </c>
      <c r="V115" s="17">
        <f ca="1"/>
        <v>70289</v>
      </c>
      <c r="W115" s="17">
        <f ca="1"/>
        <v>74826</v>
      </c>
      <c r="X115" s="17">
        <f ca="1"/>
        <v>75168</v>
      </c>
    </row>
    <row r="116" spans="1:24" x14ac:dyDescent="0.2">
      <c r="A116" t="str">
        <f ca="1"/>
        <v>Malaysia</v>
      </c>
      <c r="B116" t="str">
        <f ca="1"/>
        <v>Historical Production</v>
      </c>
      <c r="C116" t="str">
        <f ca="1"/>
        <v>GWh</v>
      </c>
      <c r="D116" t="str">
        <f ca="1"/>
        <v>Transformation\Centralized Electricity Generation\Processes\Large Hydro</v>
      </c>
      <c r="E116" s="17">
        <f ca="1"/>
        <v>6007.0000000000009</v>
      </c>
      <c r="F116" s="17">
        <f ca="1"/>
        <v>6323</v>
      </c>
      <c r="G116" s="17">
        <f ca="1"/>
        <v>5957.0000000000018</v>
      </c>
      <c r="H116" s="17">
        <f ca="1"/>
        <v>7807.0000000000045</v>
      </c>
      <c r="I116" s="17">
        <f ca="1"/>
        <v>6889.9999999999991</v>
      </c>
      <c r="J116" s="17">
        <f ca="1"/>
        <v>6361</v>
      </c>
      <c r="K116" s="17">
        <f ca="1"/>
        <v>8055.9999999999982</v>
      </c>
      <c r="L116" s="17">
        <f ca="1"/>
        <v>9056</v>
      </c>
      <c r="M116" s="17">
        <f ca="1"/>
        <v>10586</v>
      </c>
      <c r="N116" s="17">
        <f ca="1"/>
        <v>13388</v>
      </c>
      <c r="O116" s="17">
        <f ca="1"/>
        <v>13923.999999999998</v>
      </c>
      <c r="P116" s="17">
        <f ca="1"/>
        <v>20024.000000000004</v>
      </c>
      <c r="Q116" s="17">
        <f ca="1"/>
        <v>26846</v>
      </c>
      <c r="R116" s="17">
        <f ca="1"/>
        <v>26325</v>
      </c>
      <c r="S116" s="17">
        <f ca="1"/>
        <v>26196</v>
      </c>
      <c r="T116" s="17">
        <f ca="1"/>
        <v>27299.327008956858</v>
      </c>
      <c r="U116" s="17">
        <f ca="1"/>
        <v>31105.085638</v>
      </c>
      <c r="V116" s="17">
        <f ca="1"/>
        <v>31934</v>
      </c>
      <c r="W116" s="17">
        <f ca="1"/>
        <v>32014</v>
      </c>
      <c r="X116" s="17">
        <f ca="1"/>
        <v>33697</v>
      </c>
    </row>
    <row r="117" spans="1:24" x14ac:dyDescent="0.2">
      <c r="A117" t="str">
        <f ca="1"/>
        <v>Malaysia</v>
      </c>
      <c r="B117" t="str">
        <f ca="1"/>
        <v>Historical Production</v>
      </c>
      <c r="C117" t="str">
        <f ca="1"/>
        <v>GWh</v>
      </c>
      <c r="D117" t="str">
        <f ca="1"/>
        <v>Transformation\Centralized Electricity Generation\Processes\Solar PV</v>
      </c>
      <c r="E117" s="17">
        <f ca="1"/>
        <v>0</v>
      </c>
      <c r="F117" s="17">
        <f ca="1"/>
        <v>0</v>
      </c>
      <c r="G117" s="17">
        <f ca="1"/>
        <v>0</v>
      </c>
      <c r="H117" s="17">
        <f ca="1"/>
        <v>0</v>
      </c>
      <c r="I117" s="17">
        <f ca="1"/>
        <v>0</v>
      </c>
      <c r="J117" s="17">
        <f ca="1"/>
        <v>0</v>
      </c>
      <c r="K117" s="17">
        <f ca="1"/>
        <v>0</v>
      </c>
      <c r="L117" s="17">
        <f ca="1"/>
        <v>47.2</v>
      </c>
      <c r="M117" s="17">
        <f ca="1"/>
        <v>140.50000000000003</v>
      </c>
      <c r="N117" s="17">
        <f ca="1"/>
        <v>226.89999999999998</v>
      </c>
      <c r="O117" s="17">
        <f ca="1"/>
        <v>273.2</v>
      </c>
      <c r="P117" s="17">
        <f ca="1"/>
        <v>310.5</v>
      </c>
      <c r="Q117" s="17">
        <f ca="1"/>
        <v>330.3</v>
      </c>
      <c r="R117" s="17">
        <f ca="1"/>
        <v>632</v>
      </c>
      <c r="S117" s="17">
        <f ca="1"/>
        <v>1459</v>
      </c>
      <c r="T117" s="17">
        <f ca="1"/>
        <v>2058.8548462999961</v>
      </c>
      <c r="U117" s="17">
        <f ca="1"/>
        <v>2101.5237910000001</v>
      </c>
      <c r="V117" s="17">
        <f ca="1"/>
        <v>3412</v>
      </c>
      <c r="W117" s="17">
        <f ca="1"/>
        <v>4403</v>
      </c>
      <c r="X117" s="17">
        <f ca="1"/>
        <v>6369</v>
      </c>
    </row>
    <row r="118" spans="1:24" x14ac:dyDescent="0.2">
      <c r="A118" t="str">
        <f ca="1"/>
        <v>Malaysia</v>
      </c>
      <c r="B118" t="str">
        <f ca="1"/>
        <v>Historical Production</v>
      </c>
      <c r="C118" t="str">
        <f ca="1"/>
        <v>GWh</v>
      </c>
      <c r="D118" t="str">
        <f ca="1"/>
        <v>Transformation\Centralized Electricity Generation\Processes\Biomass Other</v>
      </c>
      <c r="E118" s="17">
        <f ca="1"/>
        <v>0</v>
      </c>
      <c r="F118" s="17">
        <f ca="1"/>
        <v>0</v>
      </c>
      <c r="G118" s="17">
        <f ca="1"/>
        <v>0</v>
      </c>
      <c r="H118" s="17">
        <f ca="1"/>
        <v>0</v>
      </c>
      <c r="I118" s="17">
        <f ca="1"/>
        <v>0</v>
      </c>
      <c r="J118" s="17">
        <f ca="1"/>
        <v>0</v>
      </c>
      <c r="K118" s="17">
        <f ca="1"/>
        <v>0</v>
      </c>
      <c r="L118" s="17">
        <f ca="1"/>
        <v>792.50000000000011</v>
      </c>
      <c r="M118" s="17">
        <f ca="1"/>
        <v>1107.9999999999998</v>
      </c>
      <c r="N118" s="17">
        <f ca="1"/>
        <v>648.69999999999982</v>
      </c>
      <c r="O118" s="17">
        <f ca="1"/>
        <v>685.6</v>
      </c>
      <c r="P118" s="17">
        <f ca="1"/>
        <v>685.90000000000009</v>
      </c>
      <c r="Q118" s="17">
        <f ca="1"/>
        <v>611.29999999999995</v>
      </c>
      <c r="R118" s="17">
        <f ca="1"/>
        <v>1141.9611449115043</v>
      </c>
      <c r="S118" s="17">
        <f ca="1"/>
        <v>960.22787610619469</v>
      </c>
      <c r="T118" s="17">
        <f ca="1"/>
        <v>1042.5622518763828</v>
      </c>
      <c r="U118" s="17">
        <f ca="1"/>
        <v>1036.6340623796862</v>
      </c>
      <c r="V118" s="17">
        <f ca="1"/>
        <v>919</v>
      </c>
      <c r="W118" s="17">
        <f ca="1"/>
        <v>1072</v>
      </c>
      <c r="X118" s="17">
        <f ca="1"/>
        <v>1006</v>
      </c>
    </row>
    <row r="119" spans="1:24" x14ac:dyDescent="0.2">
      <c r="A119" t="str">
        <f ca="1"/>
        <v>Malaysia</v>
      </c>
      <c r="B119" t="str">
        <f ca="1"/>
        <v>Historical Production</v>
      </c>
      <c r="C119" t="str">
        <f ca="1"/>
        <v>GWh</v>
      </c>
      <c r="D119" t="str">
        <f ca="1"/>
        <v>Transformation\Centralized Electricity Generation\Processes\Biogas</v>
      </c>
      <c r="E119" s="17">
        <f ca="1"/>
        <v>0</v>
      </c>
      <c r="F119" s="17">
        <f ca="1"/>
        <v>0</v>
      </c>
      <c r="G119" s="17">
        <f ca="1"/>
        <v>0</v>
      </c>
      <c r="H119" s="17">
        <f ca="1"/>
        <v>0</v>
      </c>
      <c r="I119" s="17">
        <f ca="1"/>
        <v>0</v>
      </c>
      <c r="J119" s="17">
        <f ca="1"/>
        <v>0</v>
      </c>
      <c r="K119" s="17">
        <f ca="1"/>
        <v>0</v>
      </c>
      <c r="L119" s="17">
        <f ca="1"/>
        <v>8.0000000000000018</v>
      </c>
      <c r="M119" s="17">
        <f ca="1"/>
        <v>6.8999999999999986</v>
      </c>
      <c r="N119" s="17">
        <f ca="1"/>
        <v>15.400000000000002</v>
      </c>
      <c r="O119" s="17">
        <f ca="1"/>
        <v>44.699999999999989</v>
      </c>
      <c r="P119" s="17">
        <f ca="1"/>
        <v>38.599999999999994</v>
      </c>
      <c r="Q119" s="17">
        <f ca="1"/>
        <v>111.89999999999998</v>
      </c>
      <c r="R119" s="17">
        <f ca="1"/>
        <v>209.03885508849555</v>
      </c>
      <c r="S119" s="17">
        <f ca="1"/>
        <v>175.77212389380529</v>
      </c>
      <c r="T119" s="17">
        <f ca="1"/>
        <v>190.8436381236173</v>
      </c>
      <c r="U119" s="17">
        <f ca="1"/>
        <v>189.75846815031392</v>
      </c>
      <c r="V119" s="17">
        <f ca="1"/>
        <v>545</v>
      </c>
      <c r="W119" s="17">
        <f ca="1"/>
        <v>580</v>
      </c>
      <c r="X119" s="17">
        <f ca="1"/>
        <v>699</v>
      </c>
    </row>
    <row r="120" spans="1:24" hidden="1" x14ac:dyDescent="0.2">
      <c r="A120" t="s">
        <v>23</v>
      </c>
      <c r="B120" t="s">
        <v>3</v>
      </c>
      <c r="C120" t="str">
        <f>IF(B120="Existing Capacity", "MW", "GWh")</f>
        <v>GWh</v>
      </c>
      <c r="D120" t="str" cm="1">
        <f t="array" aca="1" ref="D120:X128" ca="1">_xlfn.LET(_xlpm.country,A120,
_xlpm.table,INDIRECT(IF(B120="Existing Capacity",_xlpm.country,_xlpm.country&amp;"_HP")),
_xlpm.val,_xlfn._xlws.FILTER(_xlfn.HSTACK(leap[Branch Path],leap[[2005]:[2024]]),(leap[Region]=A120)*(leap[Variable]=B120)),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120" s="17">
        <f ca="1"/>
        <v>232.66</v>
      </c>
      <c r="F120" s="17">
        <f ca="1"/>
        <v>382.21</v>
      </c>
      <c r="G120" s="17">
        <f ca="1"/>
        <v>401.82</v>
      </c>
      <c r="H120" s="17">
        <f ca="1"/>
        <v>198.39</v>
      </c>
      <c r="I120" s="17">
        <f ca="1"/>
        <v>228.95</v>
      </c>
      <c r="J120" s="17">
        <f ca="1"/>
        <v>365.91</v>
      </c>
      <c r="K120" s="17">
        <f ca="1"/>
        <v>292.13</v>
      </c>
      <c r="L120" s="17">
        <f ca="1"/>
        <v>241.71</v>
      </c>
      <c r="M120" s="17">
        <f ca="1"/>
        <v>125.6</v>
      </c>
      <c r="N120" s="17">
        <f ca="1"/>
        <v>66.099999999999994</v>
      </c>
      <c r="O120" s="17">
        <f ca="1"/>
        <v>0</v>
      </c>
      <c r="P120" s="17">
        <f ca="1"/>
        <v>9.3000000000000007</v>
      </c>
      <c r="Q120" s="17">
        <f ca="1"/>
        <v>438.67</v>
      </c>
      <c r="R120" s="17">
        <f ca="1"/>
        <v>561.69000000000005</v>
      </c>
      <c r="S120" s="17">
        <f ca="1"/>
        <v>692.96</v>
      </c>
      <c r="T120" s="17">
        <f ca="1"/>
        <v>554.11500000000001</v>
      </c>
      <c r="U120" s="17">
        <f ca="1"/>
        <v>661.89</v>
      </c>
      <c r="V120" s="17">
        <f ca="1"/>
        <v>705.33900000000006</v>
      </c>
      <c r="W120" s="17">
        <f ca="1"/>
        <v>759.45799999999997</v>
      </c>
      <c r="X120" s="17">
        <f ca="1"/>
        <v>632.78800000000001</v>
      </c>
    </row>
    <row r="121" spans="1:24" hidden="1" x14ac:dyDescent="0.2">
      <c r="A121" t="str" cm="1">
        <f t="array" aca="1" ref="A121:A128" ca="1">_xlfn.TOCOL(IF(_xlfn.SEQUENCE(, ROWS(_xlfn.ANCHORARRAY(D120))-1)&lt;=ROWS(_xlfn.ANCHORARRAY(D120))-1,A120,NA()))</f>
        <v>Myanmar</v>
      </c>
      <c r="B121" t="str" cm="1">
        <f t="array" aca="1" ref="B121:B128" ca="1">_xlfn.TOCOL(IF(_xlfn.SEQUENCE(, ROWS(_xlfn.ANCHORARRAY(D120))-1)&lt;=ROWS(_xlfn.ANCHORARRAY(D120))-1,B120,NA()))</f>
        <v>Historical Production</v>
      </c>
      <c r="C121" t="str" cm="1">
        <f t="array" aca="1" ref="C121:C128" ca="1">_xlfn.TOCOL(IF(_xlfn.SEQUENCE(, ROWS(_xlfn.ANCHORARRAY(D120))-1)&lt;=ROWS(_xlfn.ANCHORARRAY(D120))-1,C120,NA()))</f>
        <v>GWh</v>
      </c>
      <c r="D121" t="str">
        <f ca="1"/>
        <v>Transformation\Centralized Electricity Generation\Processes\Diesel</v>
      </c>
      <c r="E121" s="17">
        <f ca="1"/>
        <v>32.24</v>
      </c>
      <c r="F121" s="17">
        <f ca="1"/>
        <v>27.14</v>
      </c>
      <c r="G121" s="17">
        <f ca="1"/>
        <v>31.73</v>
      </c>
      <c r="H121" s="17">
        <f ca="1"/>
        <v>37.119999999999997</v>
      </c>
      <c r="I121" s="17">
        <f ca="1"/>
        <v>27.83</v>
      </c>
      <c r="J121" s="17">
        <f ca="1"/>
        <v>31.17</v>
      </c>
      <c r="K121" s="17">
        <f ca="1"/>
        <v>36.65</v>
      </c>
      <c r="L121" s="17">
        <f ca="1"/>
        <v>47.51</v>
      </c>
      <c r="M121" s="17">
        <f ca="1"/>
        <v>57.61</v>
      </c>
      <c r="N121" s="17">
        <f ca="1"/>
        <v>62.65</v>
      </c>
      <c r="O121" s="17">
        <f ca="1"/>
        <v>53.57</v>
      </c>
      <c r="P121" s="17">
        <f ca="1"/>
        <v>59.84</v>
      </c>
      <c r="Q121" s="17">
        <f ca="1"/>
        <v>67.540000000000006</v>
      </c>
      <c r="R121" s="17">
        <f ca="1"/>
        <v>82.7</v>
      </c>
      <c r="S121" s="17">
        <f ca="1"/>
        <v>136.11000000000001</v>
      </c>
      <c r="T121" s="17">
        <f ca="1"/>
        <v>176.39</v>
      </c>
      <c r="U121" s="17">
        <f ca="1"/>
        <v>114.3</v>
      </c>
      <c r="V121" s="17">
        <f ca="1"/>
        <v>100.98399999999999</v>
      </c>
      <c r="W121" s="17">
        <f ca="1"/>
        <v>98.064999999999998</v>
      </c>
      <c r="X121" s="17">
        <f ca="1"/>
        <v>95.153000000000006</v>
      </c>
    </row>
    <row r="122" spans="1:24" hidden="1" x14ac:dyDescent="0.2">
      <c r="A122" t="str">
        <f ca="1"/>
        <v>Myanmar</v>
      </c>
      <c r="B122" t="str">
        <f ca="1"/>
        <v>Historical Production</v>
      </c>
      <c r="C122" t="str">
        <f ca="1"/>
        <v>GWh</v>
      </c>
      <c r="D122" t="str">
        <f ca="1"/>
        <v>Transformation\Centralized Electricity Generation\Processes\Gas Turbine</v>
      </c>
      <c r="E122" s="17">
        <f ca="1"/>
        <v>1010.74</v>
      </c>
      <c r="F122" s="17">
        <f ca="1"/>
        <v>874.7</v>
      </c>
      <c r="G122" s="17">
        <f ca="1"/>
        <v>827.48</v>
      </c>
      <c r="H122" s="17">
        <f ca="1"/>
        <v>814.53</v>
      </c>
      <c r="I122" s="17">
        <f ca="1"/>
        <v>510.72</v>
      </c>
      <c r="J122" s="17">
        <f ca="1"/>
        <v>725.01</v>
      </c>
      <c r="K122" s="17">
        <f ca="1"/>
        <v>922.06</v>
      </c>
      <c r="L122" s="17">
        <f ca="1"/>
        <v>1029.1199999999999</v>
      </c>
      <c r="M122" s="17">
        <f ca="1"/>
        <v>1158.78</v>
      </c>
      <c r="N122" s="17">
        <f ca="1"/>
        <v>1883.49</v>
      </c>
      <c r="O122" s="17">
        <f ca="1"/>
        <v>2370.0700000000002</v>
      </c>
      <c r="P122" s="17">
        <f ca="1"/>
        <v>2943.77</v>
      </c>
      <c r="Q122" s="17">
        <f ca="1"/>
        <v>3053.49</v>
      </c>
      <c r="R122" s="17">
        <f ca="1"/>
        <v>3439.0523196704926</v>
      </c>
      <c r="S122" s="17">
        <f ca="1"/>
        <v>4541.1868310221171</v>
      </c>
      <c r="T122" s="17">
        <f ca="1"/>
        <v>5501.8976310945136</v>
      </c>
      <c r="U122" s="17">
        <f ca="1"/>
        <v>4615.7344791374699</v>
      </c>
      <c r="V122" s="17">
        <f ca="1"/>
        <v>4696.4929000000002</v>
      </c>
      <c r="W122" s="17">
        <f ca="1"/>
        <v>3857.7073200000004</v>
      </c>
      <c r="X122" s="17">
        <f ca="1"/>
        <v>3337.95426</v>
      </c>
    </row>
    <row r="123" spans="1:24" hidden="1" x14ac:dyDescent="0.2">
      <c r="A123" t="str">
        <f ca="1"/>
        <v>Myanmar</v>
      </c>
      <c r="B123" t="str">
        <f ca="1"/>
        <v>Historical Production</v>
      </c>
      <c r="C123" t="str">
        <f ca="1"/>
        <v>GWh</v>
      </c>
      <c r="D123" t="str">
        <f ca="1"/>
        <v>Transformation\Centralized Electricity Generation\Processes\Gas Engine</v>
      </c>
      <c r="E123" s="17">
        <f ca="1"/>
        <v>0</v>
      </c>
      <c r="F123" s="17">
        <f ca="1"/>
        <v>0</v>
      </c>
      <c r="G123" s="17">
        <f ca="1"/>
        <v>0</v>
      </c>
      <c r="H123" s="17">
        <f ca="1"/>
        <v>0</v>
      </c>
      <c r="I123" s="17">
        <f ca="1"/>
        <v>0</v>
      </c>
      <c r="J123" s="17">
        <f ca="1"/>
        <v>0</v>
      </c>
      <c r="K123" s="17">
        <f ca="1"/>
        <v>0</v>
      </c>
      <c r="L123" s="17">
        <f ca="1"/>
        <v>0</v>
      </c>
      <c r="M123" s="17">
        <f ca="1"/>
        <v>0</v>
      </c>
      <c r="N123" s="17">
        <f ca="1"/>
        <v>0</v>
      </c>
      <c r="O123" s="17">
        <f ca="1"/>
        <v>0</v>
      </c>
      <c r="P123" s="17">
        <f ca="1"/>
        <v>0</v>
      </c>
      <c r="Q123" s="17">
        <f ca="1"/>
        <v>0</v>
      </c>
      <c r="R123" s="17">
        <f ca="1"/>
        <v>0</v>
      </c>
      <c r="S123" s="17">
        <f ca="1"/>
        <v>0</v>
      </c>
      <c r="T123" s="17">
        <f ca="1"/>
        <v>0</v>
      </c>
      <c r="U123" s="17">
        <f ca="1"/>
        <v>0</v>
      </c>
      <c r="V123" s="17">
        <f ca="1"/>
        <v>0</v>
      </c>
      <c r="W123" s="17">
        <f ca="1"/>
        <v>0</v>
      </c>
      <c r="X123" s="17">
        <f ca="1"/>
        <v>0</v>
      </c>
    </row>
    <row r="124" spans="1:24" hidden="1" x14ac:dyDescent="0.2">
      <c r="A124" t="str">
        <f ca="1"/>
        <v>Myanmar</v>
      </c>
      <c r="B124" t="str">
        <f ca="1"/>
        <v>Historical Production</v>
      </c>
      <c r="C124" t="str">
        <f ca="1"/>
        <v>GWh</v>
      </c>
      <c r="D124" t="str">
        <f ca="1"/>
        <v>Transformation\Centralized Electricity Generation\Processes\Gas Combined Cycle</v>
      </c>
      <c r="E124" s="17">
        <f ca="1"/>
        <v>0</v>
      </c>
      <c r="F124" s="17">
        <f ca="1"/>
        <v>0</v>
      </c>
      <c r="G124" s="17">
        <f ca="1"/>
        <v>0</v>
      </c>
      <c r="H124" s="17">
        <f ca="1"/>
        <v>0</v>
      </c>
      <c r="I124" s="17">
        <f ca="1"/>
        <v>0</v>
      </c>
      <c r="J124" s="17">
        <f ca="1"/>
        <v>0</v>
      </c>
      <c r="K124" s="17">
        <f ca="1"/>
        <v>0</v>
      </c>
      <c r="L124" s="17">
        <f ca="1"/>
        <v>0</v>
      </c>
      <c r="M124" s="17">
        <f ca="1"/>
        <v>0</v>
      </c>
      <c r="N124" s="17">
        <f ca="1"/>
        <v>0</v>
      </c>
      <c r="O124" s="17">
        <f ca="1"/>
        <v>0</v>
      </c>
      <c r="P124" s="17">
        <f ca="1"/>
        <v>0</v>
      </c>
      <c r="Q124" s="17">
        <f ca="1"/>
        <v>0</v>
      </c>
      <c r="R124" s="17">
        <f ca="1"/>
        <v>0</v>
      </c>
      <c r="S124" s="17">
        <f ca="1"/>
        <v>0</v>
      </c>
      <c r="T124" s="17">
        <f ca="1"/>
        <v>0</v>
      </c>
      <c r="U124" s="17">
        <f ca="1"/>
        <v>0</v>
      </c>
      <c r="V124" s="17">
        <f ca="1"/>
        <v>0</v>
      </c>
      <c r="W124" s="17">
        <f ca="1"/>
        <v>0</v>
      </c>
      <c r="X124" s="17">
        <f ca="1"/>
        <v>0</v>
      </c>
    </row>
    <row r="125" spans="1:24" hidden="1" x14ac:dyDescent="0.2">
      <c r="A125" t="str">
        <f ca="1"/>
        <v>Myanmar</v>
      </c>
      <c r="B125" t="str">
        <f ca="1"/>
        <v>Historical Production</v>
      </c>
      <c r="C125" t="str">
        <f ca="1"/>
        <v>GWh</v>
      </c>
      <c r="D125" t="str">
        <f ca="1"/>
        <v>Transformation\Centralized Electricity Generation\Processes\Large Hydro</v>
      </c>
      <c r="E125" s="17">
        <f ca="1"/>
        <v>2986.31</v>
      </c>
      <c r="F125" s="17">
        <f ca="1"/>
        <v>3308.76</v>
      </c>
      <c r="G125" s="17">
        <f ca="1"/>
        <v>3589.87</v>
      </c>
      <c r="H125" s="17">
        <f ca="1"/>
        <v>4031.34</v>
      </c>
      <c r="I125" s="17">
        <f ca="1"/>
        <v>5212.17</v>
      </c>
      <c r="J125" s="17">
        <f ca="1"/>
        <v>6148.15</v>
      </c>
      <c r="K125" s="17">
        <f ca="1"/>
        <v>7496.8</v>
      </c>
      <c r="L125" s="17">
        <f ca="1"/>
        <v>7697.84</v>
      </c>
      <c r="M125" s="17">
        <f ca="1"/>
        <v>8713.0300000000007</v>
      </c>
      <c r="N125" s="17">
        <f ca="1"/>
        <v>8790.99</v>
      </c>
      <c r="O125" s="17">
        <f ca="1"/>
        <v>9359.7900000000009</v>
      </c>
      <c r="P125" s="17">
        <f ca="1"/>
        <v>9714.7199999999993</v>
      </c>
      <c r="Q125" s="17">
        <f ca="1"/>
        <v>11161.26</v>
      </c>
      <c r="R125" s="17">
        <f ca="1"/>
        <v>12359.13</v>
      </c>
      <c r="S125" s="17">
        <f ca="1"/>
        <v>10032.27</v>
      </c>
      <c r="T125" s="17">
        <f ca="1"/>
        <v>8025.0709999999999</v>
      </c>
      <c r="U125" s="17">
        <f ca="1"/>
        <v>9919.25</v>
      </c>
      <c r="V125" s="17">
        <f ca="1"/>
        <v>9021.0030000000006</v>
      </c>
      <c r="W125" s="17">
        <f ca="1"/>
        <v>9281.8670000000002</v>
      </c>
      <c r="X125" s="17">
        <f ca="1"/>
        <v>8738.6880000000001</v>
      </c>
    </row>
    <row r="126" spans="1:24" hidden="1" x14ac:dyDescent="0.2">
      <c r="A126" t="str">
        <f ca="1"/>
        <v>Myanmar</v>
      </c>
      <c r="B126" t="str">
        <f ca="1"/>
        <v>Historical Production</v>
      </c>
      <c r="C126" t="str">
        <f ca="1"/>
        <v>GWh</v>
      </c>
      <c r="D126" t="str">
        <f ca="1"/>
        <v>Transformation\Centralized Electricity Generation\Processes\Small Hydro</v>
      </c>
      <c r="E126" s="17">
        <f ca="1"/>
        <v>0</v>
      </c>
      <c r="F126" s="17">
        <f ca="1"/>
        <v>0</v>
      </c>
      <c r="G126" s="17">
        <f ca="1"/>
        <v>0</v>
      </c>
      <c r="H126" s="17">
        <f ca="1"/>
        <v>0</v>
      </c>
      <c r="I126" s="17">
        <f ca="1"/>
        <v>0</v>
      </c>
      <c r="J126" s="17">
        <f ca="1"/>
        <v>0</v>
      </c>
      <c r="K126" s="17">
        <f ca="1"/>
        <v>0</v>
      </c>
      <c r="L126" s="17">
        <f ca="1"/>
        <v>0</v>
      </c>
      <c r="M126" s="17">
        <f ca="1"/>
        <v>0</v>
      </c>
      <c r="N126" s="17">
        <f ca="1"/>
        <v>0</v>
      </c>
      <c r="O126" s="17">
        <f ca="1"/>
        <v>0</v>
      </c>
      <c r="P126" s="17">
        <f ca="1"/>
        <v>0</v>
      </c>
      <c r="Q126" s="17">
        <f ca="1"/>
        <v>0</v>
      </c>
      <c r="R126" s="17">
        <f ca="1"/>
        <v>0</v>
      </c>
      <c r="S126" s="17">
        <f ca="1"/>
        <v>0</v>
      </c>
      <c r="T126" s="17">
        <f ca="1"/>
        <v>0</v>
      </c>
      <c r="U126" s="17">
        <f ca="1"/>
        <v>0</v>
      </c>
      <c r="V126" s="17">
        <f ca="1"/>
        <v>48.926000000000002</v>
      </c>
      <c r="W126" s="17">
        <f ca="1"/>
        <v>0</v>
      </c>
      <c r="X126" s="17">
        <f ca="1"/>
        <v>0</v>
      </c>
    </row>
    <row r="127" spans="1:24" hidden="1" x14ac:dyDescent="0.2">
      <c r="A127" t="str">
        <f ca="1"/>
        <v>Myanmar</v>
      </c>
      <c r="B127" t="str">
        <f ca="1"/>
        <v>Historical Production</v>
      </c>
      <c r="C127" t="str">
        <f ca="1"/>
        <v>GWh</v>
      </c>
      <c r="D127" t="str">
        <f ca="1"/>
        <v>Transformation\Centralized Electricity Generation\Processes\Solar PV</v>
      </c>
      <c r="E127" s="17">
        <f ca="1"/>
        <v>0</v>
      </c>
      <c r="F127" s="17">
        <f ca="1"/>
        <v>0</v>
      </c>
      <c r="G127" s="17">
        <f ca="1"/>
        <v>0</v>
      </c>
      <c r="H127" s="17">
        <f ca="1"/>
        <v>0</v>
      </c>
      <c r="I127" s="17">
        <f ca="1"/>
        <v>0</v>
      </c>
      <c r="J127" s="17">
        <f ca="1"/>
        <v>0</v>
      </c>
      <c r="K127" s="17">
        <f ca="1"/>
        <v>4.32</v>
      </c>
      <c r="L127" s="17">
        <f ca="1"/>
        <v>4.32</v>
      </c>
      <c r="M127" s="17">
        <f ca="1"/>
        <v>0</v>
      </c>
      <c r="N127" s="17">
        <f ca="1"/>
        <v>0</v>
      </c>
      <c r="O127" s="17">
        <f ca="1"/>
        <v>0</v>
      </c>
      <c r="P127" s="17">
        <f ca="1"/>
        <v>0</v>
      </c>
      <c r="Q127" s="17">
        <f ca="1"/>
        <v>0</v>
      </c>
      <c r="R127" s="17">
        <f ca="1"/>
        <v>11.8</v>
      </c>
      <c r="S127" s="17">
        <f ca="1"/>
        <v>67.92</v>
      </c>
      <c r="T127" s="17">
        <f ca="1"/>
        <v>105.40300000000001</v>
      </c>
      <c r="U127" s="17">
        <f ca="1"/>
        <v>111.858</v>
      </c>
      <c r="V127" s="17">
        <f ca="1"/>
        <v>194.40899999999999</v>
      </c>
      <c r="W127" s="17">
        <f ca="1"/>
        <v>387.66699999999997</v>
      </c>
      <c r="X127" s="17">
        <f ca="1"/>
        <v>494.39425</v>
      </c>
    </row>
    <row r="128" spans="1:24" hidden="1" x14ac:dyDescent="0.2">
      <c r="A128" t="str">
        <f ca="1"/>
        <v>Myanmar</v>
      </c>
      <c r="B128" t="str">
        <f ca="1"/>
        <v>Historical Production</v>
      </c>
      <c r="C128" t="str">
        <f ca="1"/>
        <v>GWh</v>
      </c>
      <c r="D128" t="str">
        <f ca="1"/>
        <v>Transformation\Centralized Electricity Generation\Processes\Wind Onshore</v>
      </c>
      <c r="E128" s="17">
        <f ca="1"/>
        <v>0</v>
      </c>
      <c r="F128" s="17">
        <f ca="1"/>
        <v>0</v>
      </c>
      <c r="G128" s="17">
        <f ca="1"/>
        <v>0</v>
      </c>
      <c r="H128" s="17">
        <f ca="1"/>
        <v>0</v>
      </c>
      <c r="I128" s="17">
        <f ca="1"/>
        <v>0</v>
      </c>
      <c r="J128" s="17">
        <f ca="1"/>
        <v>0.02</v>
      </c>
      <c r="K128" s="17">
        <f ca="1"/>
        <v>0</v>
      </c>
      <c r="L128" s="17">
        <f ca="1"/>
        <v>0</v>
      </c>
      <c r="M128" s="17">
        <f ca="1"/>
        <v>0</v>
      </c>
      <c r="N128" s="17">
        <f ca="1"/>
        <v>0</v>
      </c>
      <c r="O128" s="17">
        <f ca="1"/>
        <v>0</v>
      </c>
      <c r="P128" s="17">
        <f ca="1"/>
        <v>0</v>
      </c>
      <c r="Q128" s="17">
        <f ca="1"/>
        <v>0</v>
      </c>
      <c r="R128" s="17">
        <f ca="1"/>
        <v>0</v>
      </c>
      <c r="S128" s="17">
        <f ca="1"/>
        <v>0</v>
      </c>
      <c r="T128" s="17">
        <f ca="1"/>
        <v>0</v>
      </c>
      <c r="U128" s="17">
        <f ca="1"/>
        <v>0</v>
      </c>
      <c r="V128" s="17">
        <f ca="1"/>
        <v>0</v>
      </c>
      <c r="W128" s="17">
        <f ca="1"/>
        <v>0</v>
      </c>
      <c r="X128" s="17">
        <f ca="1"/>
        <v>0</v>
      </c>
    </row>
    <row r="129" spans="1:24" hidden="1" x14ac:dyDescent="0.2">
      <c r="A129" t="s">
        <v>25</v>
      </c>
      <c r="B129" t="s">
        <v>3</v>
      </c>
      <c r="C129" t="str">
        <f>IF(B129="Existing Capacity", "MW", "GWh")</f>
        <v>GWh</v>
      </c>
      <c r="D129" t="str" cm="1">
        <f t="array" aca="1" ref="D129:X136" ca="1">_xlfn.LET(_xlpm.country,A129,
_xlpm.table,INDIRECT(IF(B129="Existing Capacity",_xlpm.country,_xlpm.country&amp;"_HP")),
_xlpm.val,_xlfn._xlws.FILTER(_xlfn.HSTACK(leap[Branch Path],leap[[2005]:[2024]]),(leap[Region]=A129)*(leap[Variable]=B129)),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129" s="17">
        <f ca="1"/>
        <v>15257.200000000004</v>
      </c>
      <c r="F129" s="17">
        <f ca="1"/>
        <v>15294.100000000004</v>
      </c>
      <c r="G129" s="17">
        <f ca="1"/>
        <v>16837.100000000006</v>
      </c>
      <c r="H129" s="17">
        <f ca="1"/>
        <v>15748.800000000008</v>
      </c>
      <c r="I129" s="17">
        <f ca="1"/>
        <v>16476.100000000002</v>
      </c>
      <c r="J129" s="17">
        <f ca="1"/>
        <v>23301.1</v>
      </c>
      <c r="K129" s="17">
        <f ca="1"/>
        <v>25342.200000000008</v>
      </c>
      <c r="L129" s="17">
        <f ca="1"/>
        <v>28264.900000000005</v>
      </c>
      <c r="M129" s="17">
        <f ca="1"/>
        <v>32081.000000000007</v>
      </c>
      <c r="N129" s="17">
        <f ca="1"/>
        <v>33053.5</v>
      </c>
      <c r="O129" s="17">
        <f ca="1"/>
        <v>36685.700000000012</v>
      </c>
      <c r="P129" s="17">
        <f ca="1"/>
        <v>43303.200000000019</v>
      </c>
      <c r="Q129" s="17">
        <f ca="1"/>
        <v>46847.300000000017</v>
      </c>
      <c r="R129" s="17">
        <f ca="1"/>
        <v>51932.187178438857</v>
      </c>
      <c r="S129" s="17">
        <f ca="1"/>
        <v>57890.429344113334</v>
      </c>
      <c r="T129" s="17">
        <f ca="1"/>
        <v>58176.00179630964</v>
      </c>
      <c r="U129" s="17">
        <f ca="1"/>
        <v>62052.245545954211</v>
      </c>
      <c r="V129" s="17">
        <f ca="1"/>
        <v>66429.54407199999</v>
      </c>
      <c r="W129" s="17">
        <f ca="1"/>
        <v>73753.848087479026</v>
      </c>
      <c r="X129" s="17">
        <f ca="1"/>
        <v>79359.332845434517</v>
      </c>
    </row>
    <row r="130" spans="1:24" hidden="1" x14ac:dyDescent="0.2">
      <c r="A130" t="str" cm="1">
        <f t="array" aca="1" ref="A130:A136" ca="1">_xlfn.TOCOL(IF(_xlfn.SEQUENCE(, ROWS(_xlfn.ANCHORARRAY(D129))-1)&lt;=ROWS(_xlfn.ANCHORARRAY(D129))-1,A129,NA()))</f>
        <v>Philippines</v>
      </c>
      <c r="B130" t="str" cm="1">
        <f t="array" aca="1" ref="B130:B136" ca="1">_xlfn.TOCOL(IF(_xlfn.SEQUENCE(, ROWS(_xlfn.ANCHORARRAY(D129))-1)&lt;=ROWS(_xlfn.ANCHORARRAY(D129))-1,B129,NA()))</f>
        <v>Historical Production</v>
      </c>
      <c r="C130" t="str" cm="1">
        <f t="array" aca="1" ref="C130:C136" ca="1">_xlfn.TOCOL(IF(_xlfn.SEQUENCE(, ROWS(_xlfn.ANCHORARRAY(D129))-1)&lt;=ROWS(_xlfn.ANCHORARRAY(D129))-1,C129,NA()))</f>
        <v>GWh</v>
      </c>
      <c r="D130" t="str">
        <f ca="1"/>
        <v>Transformation\Centralized Electricity Generation\Processes\Diesel</v>
      </c>
      <c r="E130" s="17">
        <f ca="1"/>
        <v>6141.4000000000033</v>
      </c>
      <c r="F130" s="17">
        <f ca="1"/>
        <v>4664.8000000000011</v>
      </c>
      <c r="G130" s="17">
        <f ca="1"/>
        <v>5148</v>
      </c>
      <c r="H130" s="17">
        <f ca="1"/>
        <v>4868.3</v>
      </c>
      <c r="I130" s="17">
        <f ca="1"/>
        <v>5380.7000000000007</v>
      </c>
      <c r="J130" s="17">
        <f ca="1"/>
        <v>7101.0000000000018</v>
      </c>
      <c r="K130" s="17">
        <f ca="1"/>
        <v>3397.6000000000017</v>
      </c>
      <c r="L130" s="17">
        <f ca="1"/>
        <v>4254.0000000000009</v>
      </c>
      <c r="M130" s="17">
        <f ca="1"/>
        <v>4490.6000000000004</v>
      </c>
      <c r="N130" s="17">
        <f ca="1"/>
        <v>5707.7000000000016</v>
      </c>
      <c r="O130" s="17">
        <f ca="1"/>
        <v>5886.4</v>
      </c>
      <c r="P130" s="17">
        <f ca="1"/>
        <v>5661.4000000000024</v>
      </c>
      <c r="Q130" s="17">
        <f ca="1"/>
        <v>3787.1000000000008</v>
      </c>
      <c r="R130" s="17">
        <f ca="1"/>
        <v>3172.8170864781482</v>
      </c>
      <c r="S130" s="17">
        <f ca="1"/>
        <v>3752.3017838279948</v>
      </c>
      <c r="T130" s="17">
        <f ca="1"/>
        <v>2473.8876709300048</v>
      </c>
      <c r="U130" s="17">
        <f ca="1"/>
        <v>1616.3781474799998</v>
      </c>
      <c r="V130" s="17">
        <f ca="1"/>
        <v>2518.5002340000001</v>
      </c>
      <c r="W130" s="17">
        <f ca="1"/>
        <v>1303.6440242888032</v>
      </c>
      <c r="X130" s="17">
        <f ca="1"/>
        <v>1341.6626008500002</v>
      </c>
    </row>
    <row r="131" spans="1:24" hidden="1" x14ac:dyDescent="0.2">
      <c r="A131" t="str">
        <f ca="1"/>
        <v>Philippines</v>
      </c>
      <c r="B131" t="str">
        <f ca="1"/>
        <v>Historical Production</v>
      </c>
      <c r="C131" t="str">
        <f ca="1"/>
        <v>GWh</v>
      </c>
      <c r="D131" t="str">
        <f ca="1"/>
        <v>Transformation\Centralized Electricity Generation\Processes\Gas Combined Cycle</v>
      </c>
      <c r="E131" s="17">
        <f ca="1"/>
        <v>16860.900000000009</v>
      </c>
      <c r="F131" s="17">
        <f ca="1"/>
        <v>16366.000000000002</v>
      </c>
      <c r="G131" s="17">
        <f ca="1"/>
        <v>18789.400000000005</v>
      </c>
      <c r="H131" s="17">
        <f ca="1"/>
        <v>19575.900000000001</v>
      </c>
      <c r="I131" s="17">
        <f ca="1"/>
        <v>19886.800000000003</v>
      </c>
      <c r="J131" s="17">
        <f ca="1"/>
        <v>19517.900000000005</v>
      </c>
      <c r="K131" s="17">
        <f ca="1"/>
        <v>20591.300000000007</v>
      </c>
      <c r="L131" s="17">
        <f ca="1"/>
        <v>19641.500000000004</v>
      </c>
      <c r="M131" s="17">
        <f ca="1"/>
        <v>18791.3</v>
      </c>
      <c r="N131" s="17">
        <f ca="1"/>
        <v>18690.100000000009</v>
      </c>
      <c r="O131" s="17">
        <f ca="1"/>
        <v>18877.900000000005</v>
      </c>
      <c r="P131" s="17">
        <f ca="1"/>
        <v>19853.800000000007</v>
      </c>
      <c r="Q131" s="17">
        <f ca="1"/>
        <v>20547.200000000008</v>
      </c>
      <c r="R131" s="17">
        <f ca="1"/>
        <v>21333.788697000004</v>
      </c>
      <c r="S131" s="17">
        <f ca="1"/>
        <v>22354.377529790003</v>
      </c>
      <c r="T131" s="17">
        <f ca="1"/>
        <v>19496.926551059998</v>
      </c>
      <c r="U131" s="17">
        <f ca="1"/>
        <v>18675.443582200001</v>
      </c>
      <c r="V131" s="17">
        <f ca="1"/>
        <v>17884.120005000004</v>
      </c>
      <c r="W131" s="17">
        <f ca="1"/>
        <v>16668.066336600001</v>
      </c>
      <c r="X131" s="17">
        <f ca="1"/>
        <v>18046.729450000003</v>
      </c>
    </row>
    <row r="132" spans="1:24" hidden="1" x14ac:dyDescent="0.2">
      <c r="A132" t="str">
        <f ca="1"/>
        <v>Philippines</v>
      </c>
      <c r="B132" t="str">
        <f ca="1"/>
        <v>Historical Production</v>
      </c>
      <c r="C132" t="str">
        <f ca="1"/>
        <v>GWh</v>
      </c>
      <c r="D132" t="str">
        <f ca="1"/>
        <v>Transformation\Centralized Electricity Generation\Processes\Large Hydro</v>
      </c>
      <c r="E132" s="17">
        <f ca="1"/>
        <v>8386.773000000001</v>
      </c>
      <c r="F132" s="17">
        <f ca="1"/>
        <v>9939.4130000000041</v>
      </c>
      <c r="G132" s="17">
        <f ca="1"/>
        <v>8563.4330000000045</v>
      </c>
      <c r="H132" s="17">
        <f ca="1"/>
        <v>9842.5340000000033</v>
      </c>
      <c r="I132" s="17">
        <f ca="1"/>
        <v>9787.5670000000009</v>
      </c>
      <c r="J132" s="17">
        <f ca="1"/>
        <v>7803.4050000000025</v>
      </c>
      <c r="K132" s="17">
        <f ca="1"/>
        <v>9697.5320000000029</v>
      </c>
      <c r="L132" s="17">
        <f ca="1"/>
        <v>10252.134000000002</v>
      </c>
      <c r="M132" s="17">
        <f ca="1"/>
        <v>10019.308000000005</v>
      </c>
      <c r="N132" s="17">
        <f ca="1"/>
        <v>9137.273000000001</v>
      </c>
      <c r="O132" s="17">
        <f ca="1"/>
        <v>8665.0780000000032</v>
      </c>
      <c r="P132" s="17">
        <f ca="1"/>
        <v>8110.9150000000009</v>
      </c>
      <c r="Q132" s="17">
        <f ca="1"/>
        <v>9610.7990000000045</v>
      </c>
      <c r="R132" s="17">
        <f ca="1"/>
        <v>9383.7582255820435</v>
      </c>
      <c r="S132" s="17">
        <f ca="1"/>
        <v>8025.491696768001</v>
      </c>
      <c r="T132" s="17">
        <f ca="1"/>
        <v>7192.0187535412369</v>
      </c>
      <c r="U132" s="17">
        <f ca="1"/>
        <v>9185.3235479480009</v>
      </c>
      <c r="V132" s="17">
        <f ca="1"/>
        <v>10084.591923</v>
      </c>
      <c r="W132" s="17">
        <f ca="1"/>
        <v>10287.161486961395</v>
      </c>
      <c r="X132" s="17">
        <f ca="1"/>
        <v>10908.596766192939</v>
      </c>
    </row>
    <row r="133" spans="1:24" hidden="1" x14ac:dyDescent="0.2">
      <c r="A133" t="str">
        <f ca="1"/>
        <v>Philippines</v>
      </c>
      <c r="B133" t="str">
        <f ca="1"/>
        <v>Historical Production</v>
      </c>
      <c r="C133" t="str">
        <f ca="1"/>
        <v>GWh</v>
      </c>
      <c r="D133" t="str">
        <f ca="1"/>
        <v>Transformation\Centralized Electricity Generation\Processes\Geothermal Flash</v>
      </c>
      <c r="E133" s="17">
        <f ca="1"/>
        <v>9902.0000000000018</v>
      </c>
      <c r="F133" s="17">
        <f ca="1"/>
        <v>10465.000000000002</v>
      </c>
      <c r="G133" s="17">
        <f ca="1"/>
        <v>10215.000000000002</v>
      </c>
      <c r="H133" s="17">
        <f ca="1"/>
        <v>10723.000000000004</v>
      </c>
      <c r="I133" s="17">
        <f ca="1"/>
        <v>10324.000000000002</v>
      </c>
      <c r="J133" s="17">
        <f ca="1"/>
        <v>9929.0000000000036</v>
      </c>
      <c r="K133" s="17">
        <f ca="1"/>
        <v>9942</v>
      </c>
      <c r="L133" s="17">
        <f ca="1"/>
        <v>10250.000000000002</v>
      </c>
      <c r="M133" s="17">
        <f ca="1"/>
        <v>9605.0000000000018</v>
      </c>
      <c r="N133" s="17">
        <f ca="1"/>
        <v>10308.000000000002</v>
      </c>
      <c r="O133" s="17">
        <f ca="1"/>
        <v>11044.000000000002</v>
      </c>
      <c r="P133" s="17">
        <f ca="1"/>
        <v>11070.000000000004</v>
      </c>
      <c r="Q133" s="17">
        <f ca="1"/>
        <v>10270.000000000004</v>
      </c>
      <c r="R133" s="17">
        <f ca="1"/>
        <v>10435.304649110001</v>
      </c>
      <c r="S133" s="17">
        <f ca="1"/>
        <v>10690.80380116</v>
      </c>
      <c r="T133" s="17">
        <f ca="1"/>
        <v>10756.815175710002</v>
      </c>
      <c r="U133" s="17">
        <f ca="1"/>
        <v>10681.4221</v>
      </c>
      <c r="V133" s="17">
        <f ca="1"/>
        <v>10424.517849</v>
      </c>
      <c r="W133" s="17">
        <f ca="1"/>
        <v>10730.18296143</v>
      </c>
      <c r="X133" s="17">
        <f ca="1"/>
        <v>10789.219813000003</v>
      </c>
    </row>
    <row r="134" spans="1:24" hidden="1" x14ac:dyDescent="0.2">
      <c r="A134" t="str">
        <f ca="1"/>
        <v>Philippines</v>
      </c>
      <c r="B134" t="str">
        <f ca="1"/>
        <v>Historical Production</v>
      </c>
      <c r="C134" t="str">
        <f ca="1"/>
        <v>GWh</v>
      </c>
      <c r="D134" t="str">
        <f ca="1"/>
        <v>Transformation\Centralized Electricity Generation\Processes\Solar PV</v>
      </c>
      <c r="E134" s="17">
        <f ca="1"/>
        <v>1.5000000000000004</v>
      </c>
      <c r="F134" s="17">
        <f ca="1"/>
        <v>1.4000000000000004</v>
      </c>
      <c r="G134" s="17">
        <f ca="1"/>
        <v>1.3000000000000003</v>
      </c>
      <c r="H134" s="17">
        <f ca="1"/>
        <v>1.3000000000000003</v>
      </c>
      <c r="I134" s="17">
        <f ca="1"/>
        <v>1.3000000000000003</v>
      </c>
      <c r="J134" s="17">
        <f ca="1"/>
        <v>1.3000000000000003</v>
      </c>
      <c r="K134" s="17">
        <f ca="1"/>
        <v>1.2000000000000002</v>
      </c>
      <c r="L134" s="17">
        <f ca="1"/>
        <v>1.3000000000000003</v>
      </c>
      <c r="M134" s="17">
        <f ca="1"/>
        <v>1.4000000000000004</v>
      </c>
      <c r="N134" s="17">
        <f ca="1"/>
        <v>16.500000000000004</v>
      </c>
      <c r="O134" s="17">
        <f ca="1"/>
        <v>138.50000000000003</v>
      </c>
      <c r="P134" s="17">
        <f ca="1"/>
        <v>1097.0000000000002</v>
      </c>
      <c r="Q134" s="17">
        <f ca="1"/>
        <v>1201.2000000000003</v>
      </c>
      <c r="R134" s="17">
        <f ca="1"/>
        <v>1249.1163984170441</v>
      </c>
      <c r="S134" s="17">
        <f ca="1"/>
        <v>1246.0817376929801</v>
      </c>
      <c r="T134" s="17">
        <f ca="1"/>
        <v>1372.604492734798</v>
      </c>
      <c r="U134" s="17">
        <f ca="1"/>
        <v>1469.5498828000002</v>
      </c>
      <c r="V134" s="17">
        <f ca="1"/>
        <v>1822.3957549999998</v>
      </c>
      <c r="W134" s="17">
        <f ca="1"/>
        <v>2544.0051409941461</v>
      </c>
      <c r="X134" s="17">
        <f ca="1"/>
        <v>3810.6930886508358</v>
      </c>
    </row>
    <row r="135" spans="1:24" hidden="1" x14ac:dyDescent="0.2">
      <c r="A135" t="str">
        <f ca="1"/>
        <v>Philippines</v>
      </c>
      <c r="B135" t="str">
        <f ca="1"/>
        <v>Historical Production</v>
      </c>
      <c r="C135" t="str">
        <f ca="1"/>
        <v>GWh</v>
      </c>
      <c r="D135" t="str">
        <f ca="1"/>
        <v>Transformation\Centralized Electricity Generation\Processes\Wind Onshore</v>
      </c>
      <c r="E135" s="17">
        <f ca="1"/>
        <v>17.500000000000004</v>
      </c>
      <c r="F135" s="17">
        <f ca="1"/>
        <v>53.200000000000017</v>
      </c>
      <c r="G135" s="17">
        <f ca="1"/>
        <v>57.800000000000011</v>
      </c>
      <c r="H135" s="17">
        <f ca="1"/>
        <v>61.400000000000006</v>
      </c>
      <c r="I135" s="17">
        <f ca="1"/>
        <v>64.400000000000034</v>
      </c>
      <c r="J135" s="17">
        <f ca="1"/>
        <v>61.700000000000017</v>
      </c>
      <c r="K135" s="17">
        <f ca="1"/>
        <v>88.2</v>
      </c>
      <c r="L135" s="17">
        <f ca="1"/>
        <v>75.300000000000026</v>
      </c>
      <c r="M135" s="17">
        <f ca="1"/>
        <v>65.700000000000031</v>
      </c>
      <c r="N135" s="17">
        <f ca="1"/>
        <v>152.1</v>
      </c>
      <c r="O135" s="17">
        <f ca="1"/>
        <v>748.4</v>
      </c>
      <c r="P135" s="17">
        <f ca="1"/>
        <v>975.20000000000027</v>
      </c>
      <c r="Q135" s="17">
        <f ca="1"/>
        <v>1093.6000000000001</v>
      </c>
      <c r="R135" s="17">
        <f ca="1"/>
        <v>1152.923041</v>
      </c>
      <c r="S135" s="17">
        <f ca="1"/>
        <v>1041.6598995999998</v>
      </c>
      <c r="T135" s="17">
        <f ca="1"/>
        <v>1026.4498310399999</v>
      </c>
      <c r="U135" s="17">
        <f ca="1"/>
        <v>1269.66156</v>
      </c>
      <c r="V135" s="17">
        <f ca="1"/>
        <v>1029.8689439999998</v>
      </c>
      <c r="W135" s="17">
        <f ca="1"/>
        <v>1308.1383831743444</v>
      </c>
      <c r="X135" s="17">
        <f ca="1"/>
        <v>1238.6710648111114</v>
      </c>
    </row>
    <row r="136" spans="1:24" hidden="1" x14ac:dyDescent="0.2">
      <c r="A136" t="str">
        <f ca="1"/>
        <v>Philippines</v>
      </c>
      <c r="B136" t="str">
        <f ca="1"/>
        <v>Historical Production</v>
      </c>
      <c r="C136" t="str">
        <f ca="1"/>
        <v>GWh</v>
      </c>
      <c r="D136" t="str">
        <f ca="1"/>
        <v>Transformation\Centralized Electricity Generation\Processes\Biomass Other</v>
      </c>
      <c r="E136" s="17">
        <f ca="1"/>
        <v>0</v>
      </c>
      <c r="F136" s="17">
        <f ca="1"/>
        <v>0</v>
      </c>
      <c r="G136" s="17">
        <f ca="1"/>
        <v>0</v>
      </c>
      <c r="H136" s="17">
        <f ca="1"/>
        <v>0</v>
      </c>
      <c r="I136" s="17">
        <f ca="1"/>
        <v>13.700000000000003</v>
      </c>
      <c r="J136" s="17">
        <f ca="1"/>
        <v>27.300000000000008</v>
      </c>
      <c r="K136" s="17">
        <f ca="1"/>
        <v>115.30000000000001</v>
      </c>
      <c r="L136" s="17">
        <f ca="1"/>
        <v>182.8</v>
      </c>
      <c r="M136" s="17">
        <f ca="1"/>
        <v>212.00000000000006</v>
      </c>
      <c r="N136" s="17">
        <f ca="1"/>
        <v>195.70000000000007</v>
      </c>
      <c r="O136" s="17">
        <f ca="1"/>
        <v>367.50000000000011</v>
      </c>
      <c r="P136" s="17">
        <f ca="1"/>
        <v>725.9000000000002</v>
      </c>
      <c r="Q136" s="17">
        <f ca="1"/>
        <v>1013.1000000000004</v>
      </c>
      <c r="R136" s="17">
        <f ca="1"/>
        <v>1104.822764666799</v>
      </c>
      <c r="S136" s="17">
        <f ca="1"/>
        <v>1040.3426460000001</v>
      </c>
      <c r="T136" s="17">
        <f ca="1"/>
        <v>1261.0159626570605</v>
      </c>
      <c r="U136" s="17">
        <f ca="1"/>
        <v>1164.6887300000001</v>
      </c>
      <c r="V136" s="17">
        <f ca="1"/>
        <v>1322.1298100000001</v>
      </c>
      <c r="W136" s="17">
        <f ca="1"/>
        <v>1408.8628080460853</v>
      </c>
      <c r="X136" s="17">
        <f ca="1"/>
        <v>1445.9210779634525</v>
      </c>
    </row>
    <row r="137" spans="1:24" hidden="1" x14ac:dyDescent="0.2">
      <c r="A137" t="s">
        <v>27</v>
      </c>
      <c r="B137" t="s">
        <v>3</v>
      </c>
      <c r="C137" t="str">
        <f>IF(B137="Existing Capacity", "MW", "GWh")</f>
        <v>GWh</v>
      </c>
      <c r="D137" t="str" cm="1">
        <f t="array" aca="1" ref="D137:X141" ca="1">_xlfn.LET(_xlpm.country,A137,
_xlpm.table,INDIRECT(IF(B137="Existing Capacity",_xlpm.country,_xlpm.country&amp;"_HP")),
_xlpm.val,_xlfn._xlws.FILTER(_xlfn.HSTACK(leap[Branch Path],leap[[2005]:[2024]]),(leap[Region]=A137)*(leap[Variable]=B137)),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Generation\Processes\Fuel Oil</v>
      </c>
      <c r="E137" s="17">
        <f ca="1"/>
        <v>8827.0000000000018</v>
      </c>
      <c r="F137" s="17">
        <f ca="1"/>
        <v>7816.9999999999991</v>
      </c>
      <c r="G137" s="17">
        <f ca="1"/>
        <v>7774.0000000000018</v>
      </c>
      <c r="H137" s="17">
        <f ca="1"/>
        <v>7167</v>
      </c>
      <c r="I137" s="17">
        <f ca="1"/>
        <v>7064</v>
      </c>
      <c r="J137" s="17">
        <f ca="1"/>
        <v>9164</v>
      </c>
      <c r="K137" s="17">
        <f ca="1"/>
        <v>8923.9999999999964</v>
      </c>
      <c r="L137" s="17">
        <f ca="1"/>
        <v>6102</v>
      </c>
      <c r="M137" s="17">
        <f ca="1"/>
        <v>2248.9999999999991</v>
      </c>
      <c r="N137" s="17">
        <f ca="1"/>
        <v>345.00000000000006</v>
      </c>
      <c r="O137" s="17">
        <f ca="1"/>
        <v>331.99999999999994</v>
      </c>
      <c r="P137" s="17">
        <f ca="1"/>
        <v>361.00000000000006</v>
      </c>
      <c r="Q137" s="17">
        <f ca="1"/>
        <v>365.99999999999994</v>
      </c>
      <c r="R137" s="17">
        <f ca="1"/>
        <v>0</v>
      </c>
      <c r="S137" s="17">
        <f ca="1"/>
        <v>217</v>
      </c>
      <c r="T137" s="17">
        <f ca="1"/>
        <v>211</v>
      </c>
      <c r="U137" s="17">
        <f ca="1"/>
        <v>440</v>
      </c>
      <c r="V137" s="17">
        <f ca="1"/>
        <v>458.92</v>
      </c>
      <c r="W137" s="17">
        <f ca="1"/>
        <v>0</v>
      </c>
      <c r="X137" s="17">
        <f ca="1"/>
        <v>0</v>
      </c>
    </row>
    <row r="138" spans="1:24" hidden="1" x14ac:dyDescent="0.2">
      <c r="A138" t="str" cm="1">
        <f t="array" aca="1" ref="A138:A141" ca="1">_xlfn.TOCOL(IF(_xlfn.SEQUENCE(, ROWS(_xlfn.ANCHORARRAY(D137))-1)&lt;=ROWS(_xlfn.ANCHORARRAY(D137))-1,A137,NA()))</f>
        <v>Singapore</v>
      </c>
      <c r="B138" t="str" cm="1">
        <f t="array" aca="1" ref="B138:B141" ca="1">_xlfn.TOCOL(IF(_xlfn.SEQUENCE(, ROWS(_xlfn.ANCHORARRAY(D137))-1)&lt;=ROWS(_xlfn.ANCHORARRAY(D137))-1,B137,NA()))</f>
        <v>Historical Production</v>
      </c>
      <c r="C138" t="str" cm="1">
        <f t="array" aca="1" ref="C138:C141" ca="1">_xlfn.TOCOL(IF(_xlfn.SEQUENCE(, ROWS(_xlfn.ANCHORARRAY(D137))-1)&lt;=ROWS(_xlfn.ANCHORARRAY(D137))-1,C137,NA()))</f>
        <v>GWh</v>
      </c>
      <c r="D138" t="str">
        <f ca="1"/>
        <v>Transformation\Centralized Electricity Generation\Processes\Gas Turbine</v>
      </c>
      <c r="E138" s="17">
        <f ca="1"/>
        <v>1692</v>
      </c>
      <c r="F138" s="17">
        <f ca="1"/>
        <v>1935.9999999999998</v>
      </c>
      <c r="G138" s="17">
        <f ca="1"/>
        <v>1910.0000000000002</v>
      </c>
      <c r="H138" s="17">
        <f ca="1"/>
        <v>2017</v>
      </c>
      <c r="I138" s="17">
        <f ca="1"/>
        <v>2361</v>
      </c>
      <c r="J138" s="17">
        <f ca="1"/>
        <v>1986.0000000000002</v>
      </c>
      <c r="K138" s="17">
        <f ca="1"/>
        <v>1571</v>
      </c>
      <c r="L138" s="17">
        <f ca="1"/>
        <v>889.99999999999989</v>
      </c>
      <c r="M138" s="17">
        <f ca="1"/>
        <v>825</v>
      </c>
      <c r="N138" s="17">
        <f ca="1"/>
        <v>840.99999999999989</v>
      </c>
      <c r="O138" s="17">
        <f ca="1"/>
        <v>817.99999999999966</v>
      </c>
      <c r="P138" s="17">
        <f ca="1"/>
        <v>839.00000000000023</v>
      </c>
      <c r="Q138" s="17">
        <f ca="1"/>
        <v>837.00000000000011</v>
      </c>
      <c r="R138" s="17">
        <f ca="1"/>
        <v>876.1731533403505</v>
      </c>
      <c r="S138" s="17">
        <f ca="1"/>
        <v>871.37696608874069</v>
      </c>
      <c r="T138" s="17">
        <f ca="1"/>
        <v>850.90566796733594</v>
      </c>
      <c r="U138" s="17">
        <f ca="1"/>
        <v>881.78096464057296</v>
      </c>
      <c r="V138" s="17">
        <f ca="1"/>
        <v>919.69754612011764</v>
      </c>
      <c r="W138" s="17">
        <f ca="1"/>
        <v>0</v>
      </c>
      <c r="X138" s="17">
        <f ca="1"/>
        <v>0</v>
      </c>
    </row>
    <row r="139" spans="1:24" hidden="1" x14ac:dyDescent="0.2">
      <c r="A139" t="str">
        <f ca="1"/>
        <v>Singapore</v>
      </c>
      <c r="B139" t="str">
        <f ca="1"/>
        <v>Historical Production</v>
      </c>
      <c r="C139" t="str">
        <f ca="1"/>
        <v>GWh</v>
      </c>
      <c r="D139" t="str">
        <f ca="1"/>
        <v>Transformation\Centralized Electricity Generation\Processes\Gas Combined Cycle</v>
      </c>
      <c r="E139" s="17">
        <f ca="1"/>
        <v>26738</v>
      </c>
      <c r="F139" s="17">
        <f ca="1"/>
        <v>28780.000000000004</v>
      </c>
      <c r="G139" s="17">
        <f ca="1"/>
        <v>30463</v>
      </c>
      <c r="H139" s="17">
        <f ca="1"/>
        <v>31443.999999999996</v>
      </c>
      <c r="I139" s="17">
        <f ca="1"/>
        <v>31330</v>
      </c>
      <c r="J139" s="17">
        <f ca="1"/>
        <v>33035.999999999993</v>
      </c>
      <c r="K139" s="17">
        <f ca="1"/>
        <v>34307.999999999993</v>
      </c>
      <c r="L139" s="17">
        <f ca="1"/>
        <v>38677</v>
      </c>
      <c r="M139" s="17">
        <f ca="1"/>
        <v>43201</v>
      </c>
      <c r="N139" s="17">
        <f ca="1"/>
        <v>46191.000000000007</v>
      </c>
      <c r="O139" s="17">
        <f ca="1"/>
        <v>47070</v>
      </c>
      <c r="P139" s="17">
        <f ca="1"/>
        <v>48270.999999999993</v>
      </c>
      <c r="Q139" s="17">
        <f ca="1"/>
        <v>48881</v>
      </c>
      <c r="R139" s="17">
        <f ca="1"/>
        <v>51168.721515447629</v>
      </c>
      <c r="S139" s="17">
        <f ca="1"/>
        <v>50888.623033911259</v>
      </c>
      <c r="T139" s="17">
        <f ca="1"/>
        <v>49693.094332032662</v>
      </c>
      <c r="U139" s="17">
        <f ca="1"/>
        <v>51496.219035359427</v>
      </c>
      <c r="V139" s="17">
        <f ca="1"/>
        <v>53710.556453879879</v>
      </c>
      <c r="W139" s="17">
        <f ca="1"/>
        <v>0</v>
      </c>
      <c r="X139" s="17">
        <f ca="1"/>
        <v>0</v>
      </c>
    </row>
    <row r="140" spans="1:24" hidden="1" x14ac:dyDescent="0.2">
      <c r="A140" t="str">
        <f ca="1"/>
        <v>Singapore</v>
      </c>
      <c r="B140" t="str">
        <f ca="1"/>
        <v>Historical Production</v>
      </c>
      <c r="C140" t="str">
        <f ca="1"/>
        <v>GWh</v>
      </c>
      <c r="D140" t="str">
        <f ca="1"/>
        <v>Transformation\Centralized Electricity Generation\Processes\Solar PV</v>
      </c>
      <c r="E140" s="17">
        <f ca="1"/>
        <v>0</v>
      </c>
      <c r="F140" s="17">
        <f ca="1"/>
        <v>0</v>
      </c>
      <c r="G140" s="17">
        <f ca="1"/>
        <v>0</v>
      </c>
      <c r="H140" s="17">
        <f ca="1"/>
        <v>0.99999999999999989</v>
      </c>
      <c r="I140" s="17">
        <f ca="1"/>
        <v>3</v>
      </c>
      <c r="J140" s="17">
        <f ca="1"/>
        <v>5</v>
      </c>
      <c r="K140" s="17">
        <f ca="1"/>
        <v>8</v>
      </c>
      <c r="L140" s="17">
        <f ca="1"/>
        <v>12.999999999999998</v>
      </c>
      <c r="M140" s="17">
        <f ca="1"/>
        <v>16.999999999999996</v>
      </c>
      <c r="N140" s="17">
        <f ca="1"/>
        <v>37.999999999999993</v>
      </c>
      <c r="O140" s="17">
        <f ca="1"/>
        <v>69.000000000000014</v>
      </c>
      <c r="P140" s="17">
        <f ca="1"/>
        <v>146</v>
      </c>
      <c r="Q140" s="17">
        <f ca="1"/>
        <v>169</v>
      </c>
      <c r="R140" s="17">
        <f ca="1"/>
        <v>268.61035357586178</v>
      </c>
      <c r="S140" s="17">
        <f ca="1"/>
        <v>410</v>
      </c>
      <c r="T140" s="17">
        <f ca="1"/>
        <v>499</v>
      </c>
      <c r="U140" s="17">
        <f ca="1"/>
        <v>761</v>
      </c>
      <c r="V140" s="17">
        <f ca="1"/>
        <v>793.72299999999996</v>
      </c>
      <c r="W140" s="17">
        <f ca="1"/>
        <v>0</v>
      </c>
      <c r="X140" s="17">
        <f ca="1"/>
        <v>0</v>
      </c>
    </row>
    <row r="141" spans="1:24" hidden="1" x14ac:dyDescent="0.2">
      <c r="A141" t="str">
        <f ca="1"/>
        <v>Singapore</v>
      </c>
      <c r="B141" t="str">
        <f ca="1"/>
        <v>Historical Production</v>
      </c>
      <c r="C141" t="str">
        <f ca="1"/>
        <v>GWh</v>
      </c>
      <c r="D141" t="str">
        <f ca="1"/>
        <v>Transformation\Centralized Electricity Generation\Processes\Waste</v>
      </c>
      <c r="E141" s="17">
        <f ca="1"/>
        <v>955.3</v>
      </c>
      <c r="F141" s="17">
        <f ca="1"/>
        <v>947.50000000000011</v>
      </c>
      <c r="G141" s="17">
        <f ca="1"/>
        <v>987.19999999999982</v>
      </c>
      <c r="H141" s="17">
        <f ca="1"/>
        <v>1040.7999999999997</v>
      </c>
      <c r="I141" s="17">
        <f ca="1"/>
        <v>1041.9999999999998</v>
      </c>
      <c r="J141" s="17">
        <f ca="1"/>
        <v>1174.5000000000002</v>
      </c>
      <c r="K141" s="17">
        <f ca="1"/>
        <v>1188</v>
      </c>
      <c r="L141" s="17">
        <f ca="1"/>
        <v>1254.3000000000002</v>
      </c>
      <c r="M141" s="17">
        <f ca="1"/>
        <v>1671.3000000000002</v>
      </c>
      <c r="N141" s="17">
        <f ca="1"/>
        <v>1894.9</v>
      </c>
      <c r="O141" s="17">
        <f ca="1"/>
        <v>1982.0999999999997</v>
      </c>
      <c r="P141" s="17">
        <f ca="1"/>
        <v>1969.1</v>
      </c>
      <c r="Q141" s="17">
        <f ca="1"/>
        <v>1972.2000000000003</v>
      </c>
      <c r="R141" s="17">
        <f ca="1"/>
        <v>563.78042961180051</v>
      </c>
      <c r="S141" s="17">
        <f ca="1"/>
        <v>1433</v>
      </c>
      <c r="T141" s="17">
        <f ca="1"/>
        <v>1054</v>
      </c>
      <c r="U141" s="17">
        <f ca="1"/>
        <v>1220</v>
      </c>
      <c r="V141" s="17">
        <f ca="1"/>
        <v>1272.46</v>
      </c>
      <c r="W141" s="17">
        <f ca="1"/>
        <v>0</v>
      </c>
      <c r="X141" s="17">
        <f ca="1"/>
        <v>0</v>
      </c>
    </row>
    <row r="142" spans="1:24" hidden="1" x14ac:dyDescent="0.2">
      <c r="A142" t="s">
        <v>28</v>
      </c>
      <c r="B142" t="s">
        <v>3</v>
      </c>
      <c r="C142" t="str">
        <f>IF(B142="Existing Capacity", "MW", "GWh")</f>
        <v>GWh</v>
      </c>
      <c r="D142" t="str" cm="1">
        <f t="array" aca="1" ref="D142:X152" ca="1">_xlfn.LET(_xlpm.country,A142,
_xlpm.table,INDIRECT(IF(B142="Existing Capacity",_xlpm.country,_xlpm.country&amp;"_HP")),
_xlpm.val,_xlfn._xlws.FILTER(_xlfn.HSTACK(leap[Branch Path],leap[[2005]:[2024]]),(leap[Region]=A142)*(leap[Variable]=B142)),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142" s="17">
        <f ca="1"/>
        <v>32034</v>
      </c>
      <c r="F142" s="17">
        <f ca="1"/>
        <v>35051</v>
      </c>
      <c r="G142" s="17">
        <f ca="1"/>
        <v>36615.800000000003</v>
      </c>
      <c r="H142" s="17">
        <f ca="1"/>
        <v>37480.6</v>
      </c>
      <c r="I142" s="17">
        <f ca="1"/>
        <v>37825</v>
      </c>
      <c r="J142" s="17">
        <f ca="1"/>
        <v>38854.199999999997</v>
      </c>
      <c r="K142" s="17">
        <f ca="1"/>
        <v>40047.800000000003</v>
      </c>
      <c r="L142" s="17">
        <f ca="1"/>
        <v>40081</v>
      </c>
      <c r="M142" s="17">
        <f ca="1"/>
        <v>36374</v>
      </c>
      <c r="N142" s="17">
        <f ca="1"/>
        <v>35753</v>
      </c>
      <c r="O142" s="17">
        <f ca="1"/>
        <v>34582.1</v>
      </c>
      <c r="P142" s="17">
        <f ca="1"/>
        <v>37038</v>
      </c>
      <c r="Q142" s="17">
        <f ca="1"/>
        <v>35782.1</v>
      </c>
      <c r="R142" s="17">
        <f ca="1"/>
        <v>35796.42368</v>
      </c>
      <c r="S142" s="17">
        <f ca="1"/>
        <v>35825.220457999996</v>
      </c>
      <c r="T142" s="17">
        <f ca="1"/>
        <v>45902.293204999994</v>
      </c>
      <c r="U142" s="17">
        <f ca="1"/>
        <v>45531.515091000001</v>
      </c>
      <c r="V142" s="17">
        <f ca="1"/>
        <v>45519.510886999997</v>
      </c>
      <c r="W142" s="17">
        <f ca="1"/>
        <v>30430</v>
      </c>
      <c r="X142" s="17">
        <f ca="1"/>
        <v>33280</v>
      </c>
    </row>
    <row r="143" spans="1:24" hidden="1" x14ac:dyDescent="0.2">
      <c r="A143" t="str" cm="1">
        <f t="array" aca="1" ref="A143:A152" ca="1">_xlfn.TOCOL(IF(_xlfn.SEQUENCE(, ROWS(_xlfn.ANCHORARRAY(D142))-1)&lt;=ROWS(_xlfn.ANCHORARRAY(D142))-1,A142,NA()))</f>
        <v>Thailand</v>
      </c>
      <c r="B143" t="str" cm="1">
        <f t="array" aca="1" ref="B143:B152" ca="1">_xlfn.TOCOL(IF(_xlfn.SEQUENCE(, ROWS(_xlfn.ANCHORARRAY(D142))-1)&lt;=ROWS(_xlfn.ANCHORARRAY(D142))-1,B142,NA()))</f>
        <v>Historical Production</v>
      </c>
      <c r="C143" t="str" cm="1">
        <f t="array" aca="1" ref="C143:C152" ca="1">_xlfn.TOCOL(IF(_xlfn.SEQUENCE(, ROWS(_xlfn.ANCHORARRAY(D142))-1)&lt;=ROWS(_xlfn.ANCHORARRAY(D142))-1,C142,NA()))</f>
        <v>GWh</v>
      </c>
      <c r="D143" t="str">
        <f ca="1"/>
        <v>Transformation\Centralized Electricity Generation\Processes\Diesel</v>
      </c>
      <c r="E143" s="17">
        <f ca="1"/>
        <v>5949.3</v>
      </c>
      <c r="F143" s="17">
        <f ca="1"/>
        <v>5646.3</v>
      </c>
      <c r="G143" s="17">
        <f ca="1"/>
        <v>5526.5</v>
      </c>
      <c r="H143" s="17">
        <f ca="1"/>
        <v>5216.2</v>
      </c>
      <c r="I143" s="17">
        <f ca="1"/>
        <v>3153</v>
      </c>
      <c r="J143" s="17">
        <f ca="1"/>
        <v>2573.1</v>
      </c>
      <c r="K143" s="17">
        <f ca="1"/>
        <v>2050</v>
      </c>
      <c r="L143" s="17">
        <f ca="1"/>
        <v>2222</v>
      </c>
      <c r="M143" s="17">
        <f ca="1"/>
        <v>1584.6</v>
      </c>
      <c r="N143" s="17">
        <f ca="1"/>
        <v>1399</v>
      </c>
      <c r="O143" s="17">
        <f ca="1"/>
        <v>914.9</v>
      </c>
      <c r="P143" s="17">
        <f ca="1"/>
        <v>630.79999999999995</v>
      </c>
      <c r="Q143" s="17">
        <f ca="1"/>
        <v>334.2</v>
      </c>
      <c r="R143" s="17">
        <f ca="1"/>
        <v>111.77200000000001</v>
      </c>
      <c r="S143" s="17">
        <f ca="1"/>
        <v>137.22400000000002</v>
      </c>
      <c r="T143" s="17">
        <f ca="1"/>
        <v>226.32416470000001</v>
      </c>
      <c r="U143" s="17">
        <f ca="1"/>
        <v>1750.9198504999999</v>
      </c>
      <c r="V143" s="17">
        <f ca="1"/>
        <v>9297.9068978000014</v>
      </c>
      <c r="W143" s="17">
        <f ca="1"/>
        <v>0</v>
      </c>
      <c r="X143" s="17">
        <f ca="1"/>
        <v>0</v>
      </c>
    </row>
    <row r="144" spans="1:24" hidden="1" x14ac:dyDescent="0.2">
      <c r="A144" t="str">
        <f ca="1"/>
        <v>Thailand</v>
      </c>
      <c r="B144" t="str">
        <f ca="1"/>
        <v>Historical Production</v>
      </c>
      <c r="C144" t="str">
        <f ca="1"/>
        <v>GWh</v>
      </c>
      <c r="D144" t="str">
        <f ca="1"/>
        <v>Transformation\Centralized Electricity Generation\Processes\Fuel Oil</v>
      </c>
      <c r="E144" s="17">
        <f ca="1"/>
        <v>0</v>
      </c>
      <c r="F144" s="17">
        <f ca="1"/>
        <v>0</v>
      </c>
      <c r="G144" s="17">
        <f ca="1"/>
        <v>0</v>
      </c>
      <c r="H144" s="17">
        <f ca="1"/>
        <v>0</v>
      </c>
      <c r="I144" s="17">
        <f ca="1"/>
        <v>0</v>
      </c>
      <c r="J144" s="17">
        <f ca="1"/>
        <v>0</v>
      </c>
      <c r="K144" s="17">
        <f ca="1"/>
        <v>0</v>
      </c>
      <c r="L144" s="17">
        <f ca="1"/>
        <v>0</v>
      </c>
      <c r="M144" s="17">
        <f ca="1"/>
        <v>0</v>
      </c>
      <c r="N144" s="17">
        <f ca="1"/>
        <v>0</v>
      </c>
      <c r="O144" s="17">
        <f ca="1"/>
        <v>0</v>
      </c>
      <c r="P144" s="17">
        <f ca="1"/>
        <v>0</v>
      </c>
      <c r="Q144" s="17">
        <f ca="1"/>
        <v>0</v>
      </c>
      <c r="R144" s="17">
        <f ca="1"/>
        <v>0</v>
      </c>
      <c r="S144" s="17">
        <f ca="1"/>
        <v>0</v>
      </c>
      <c r="T144" s="17">
        <f ca="1"/>
        <v>97.966457224975159</v>
      </c>
      <c r="U144" s="17">
        <f ca="1"/>
        <v>953.394452</v>
      </c>
      <c r="V144" s="17">
        <f ca="1"/>
        <v>1263.3031982092766</v>
      </c>
      <c r="W144" s="17">
        <f ca="1"/>
        <v>0</v>
      </c>
      <c r="X144" s="17">
        <f ca="1"/>
        <v>0</v>
      </c>
    </row>
    <row r="145" spans="1:24" hidden="1" x14ac:dyDescent="0.2">
      <c r="A145" t="str">
        <f ca="1"/>
        <v>Thailand</v>
      </c>
      <c r="B145" t="str">
        <f ca="1"/>
        <v>Historical Production</v>
      </c>
      <c r="C145" t="str">
        <f ca="1"/>
        <v>GWh</v>
      </c>
      <c r="D145" t="str">
        <f ca="1"/>
        <v>Transformation\Centralized Electricity Generation\Processes\Gas Combined Cycle</v>
      </c>
      <c r="E145" s="17">
        <f ca="1"/>
        <v>85703</v>
      </c>
      <c r="F145" s="17">
        <f ca="1"/>
        <v>87071</v>
      </c>
      <c r="G145" s="17">
        <f ca="1"/>
        <v>90167.2</v>
      </c>
      <c r="H145" s="17">
        <f ca="1"/>
        <v>94549</v>
      </c>
      <c r="I145" s="17">
        <f ca="1"/>
        <v>82569.3</v>
      </c>
      <c r="J145" s="17">
        <f ca="1"/>
        <v>94224</v>
      </c>
      <c r="K145" s="17">
        <f ca="1"/>
        <v>102301</v>
      </c>
      <c r="L145" s="17">
        <f ca="1"/>
        <v>114628</v>
      </c>
      <c r="M145" s="17">
        <f ca="1"/>
        <v>118871.2</v>
      </c>
      <c r="N145" s="17">
        <f ca="1"/>
        <v>124675</v>
      </c>
      <c r="O145" s="17">
        <f ca="1"/>
        <v>128525</v>
      </c>
      <c r="P145" s="17">
        <f ca="1"/>
        <v>124597</v>
      </c>
      <c r="Q145" s="17">
        <f ca="1"/>
        <v>120263.6</v>
      </c>
      <c r="R145" s="17">
        <f ca="1"/>
        <v>116265.176074</v>
      </c>
      <c r="S145" s="17">
        <f ca="1"/>
        <v>121840.62066099999</v>
      </c>
      <c r="T145" s="17">
        <f ca="1"/>
        <v>112793.07104299999</v>
      </c>
      <c r="U145" s="17">
        <f ca="1"/>
        <v>110171.30943199999</v>
      </c>
      <c r="V145" s="17">
        <f ca="1"/>
        <v>104931.22016</v>
      </c>
      <c r="W145" s="17">
        <f ca="1"/>
        <v>129400</v>
      </c>
      <c r="X145" s="17">
        <f ca="1"/>
        <v>136370</v>
      </c>
    </row>
    <row r="146" spans="1:24" hidden="1" x14ac:dyDescent="0.2">
      <c r="A146" t="str">
        <f ca="1"/>
        <v>Thailand</v>
      </c>
      <c r="B146" t="str">
        <f ca="1"/>
        <v>Historical Production</v>
      </c>
      <c r="C146" t="str">
        <f ca="1"/>
        <v>GWh</v>
      </c>
      <c r="D146" t="str">
        <f ca="1"/>
        <v>Transformation\Centralized Electricity Generation\Processes\Large Hydro</v>
      </c>
      <c r="E146" s="17">
        <f ca="1"/>
        <v>5798.7</v>
      </c>
      <c r="F146" s="17">
        <f ca="1"/>
        <v>8125</v>
      </c>
      <c r="G146" s="17">
        <f ca="1"/>
        <v>8114</v>
      </c>
      <c r="H146" s="17">
        <f ca="1"/>
        <v>7113</v>
      </c>
      <c r="I146" s="17">
        <f ca="1"/>
        <v>7148</v>
      </c>
      <c r="J146" s="17">
        <f ca="1"/>
        <v>5537</v>
      </c>
      <c r="K146" s="17">
        <f ca="1"/>
        <v>8164</v>
      </c>
      <c r="L146" s="17">
        <f ca="1"/>
        <v>8641.2999999999993</v>
      </c>
      <c r="M146" s="17">
        <f ca="1"/>
        <v>5611</v>
      </c>
      <c r="N146" s="17">
        <f ca="1"/>
        <v>4362.3</v>
      </c>
      <c r="O146" s="17">
        <f ca="1"/>
        <v>3867.7</v>
      </c>
      <c r="P146" s="17">
        <f ca="1"/>
        <v>3651</v>
      </c>
      <c r="Q146" s="17">
        <f ca="1"/>
        <v>4832.8</v>
      </c>
      <c r="R146" s="17">
        <f ca="1"/>
        <v>7597.0129999999999</v>
      </c>
      <c r="S146" s="17">
        <f ca="1"/>
        <v>6309.9579999999996</v>
      </c>
      <c r="T146" s="17">
        <f ca="1"/>
        <v>20792.732079000001</v>
      </c>
      <c r="U146" s="17">
        <f ca="1"/>
        <v>24084.506099999999</v>
      </c>
      <c r="V146" s="17">
        <f ca="1"/>
        <v>27515.972287000004</v>
      </c>
      <c r="W146" s="17">
        <f ca="1"/>
        <v>6590</v>
      </c>
      <c r="X146" s="17">
        <f ca="1"/>
        <v>6410</v>
      </c>
    </row>
    <row r="147" spans="1:24" hidden="1" x14ac:dyDescent="0.2">
      <c r="A147" t="str">
        <f ca="1"/>
        <v>Thailand</v>
      </c>
      <c r="B147" t="str">
        <f ca="1"/>
        <v>Historical Production</v>
      </c>
      <c r="C147" t="str">
        <f ca="1"/>
        <v>GWh</v>
      </c>
      <c r="D147" t="str">
        <f ca="1"/>
        <v>Transformation\Centralized Electricity Generation\Processes\Solar PV</v>
      </c>
      <c r="E147" s="17">
        <f ca="1"/>
        <v>0</v>
      </c>
      <c r="F147" s="17">
        <f ca="1"/>
        <v>0</v>
      </c>
      <c r="G147" s="17">
        <f ca="1"/>
        <v>0</v>
      </c>
      <c r="H147" s="17">
        <f ca="1"/>
        <v>0</v>
      </c>
      <c r="I147" s="17">
        <f ca="1"/>
        <v>9</v>
      </c>
      <c r="J147" s="17">
        <f ca="1"/>
        <v>23</v>
      </c>
      <c r="K147" s="17">
        <f ca="1"/>
        <v>83</v>
      </c>
      <c r="L147" s="17">
        <f ca="1"/>
        <v>447</v>
      </c>
      <c r="M147" s="17">
        <f ca="1"/>
        <v>931.4</v>
      </c>
      <c r="N147" s="17">
        <f ca="1"/>
        <v>2031</v>
      </c>
      <c r="O147" s="17">
        <f ca="1"/>
        <v>2318.5</v>
      </c>
      <c r="P147" s="17">
        <f ca="1"/>
        <v>3553.5</v>
      </c>
      <c r="Q147" s="17">
        <f ca="1"/>
        <v>4542.5</v>
      </c>
      <c r="R147" s="17">
        <f ca="1"/>
        <v>4542.5000000000027</v>
      </c>
      <c r="S147" s="17">
        <f ca="1"/>
        <v>4542.5000000000027</v>
      </c>
      <c r="T147" s="17">
        <f ca="1"/>
        <v>4773.4594710000001</v>
      </c>
      <c r="U147" s="17">
        <f ca="1"/>
        <v>4780.4797689999996</v>
      </c>
      <c r="V147" s="17">
        <f ca="1"/>
        <v>4792.9889570000005</v>
      </c>
      <c r="W147" s="17">
        <f ca="1"/>
        <v>5420</v>
      </c>
      <c r="X147" s="17">
        <f ca="1"/>
        <v>6170</v>
      </c>
    </row>
    <row r="148" spans="1:24" hidden="1" x14ac:dyDescent="0.2">
      <c r="A148" t="str">
        <f ca="1"/>
        <v>Thailand</v>
      </c>
      <c r="B148" t="str">
        <f ca="1"/>
        <v>Historical Production</v>
      </c>
      <c r="C148" t="str">
        <f ca="1"/>
        <v>GWh</v>
      </c>
      <c r="D148" t="str">
        <f ca="1"/>
        <v>Transformation\Centralized Electricity Generation\Processes\Wind Onshore</v>
      </c>
      <c r="E148" s="17">
        <f ca="1"/>
        <v>0</v>
      </c>
      <c r="F148" s="17">
        <f ca="1"/>
        <v>0</v>
      </c>
      <c r="G148" s="17">
        <f ca="1"/>
        <v>0</v>
      </c>
      <c r="H148" s="17">
        <f ca="1"/>
        <v>0</v>
      </c>
      <c r="I148" s="17">
        <f ca="1"/>
        <v>1</v>
      </c>
      <c r="J148" s="17">
        <f ca="1"/>
        <v>2</v>
      </c>
      <c r="K148" s="17">
        <f ca="1"/>
        <v>5</v>
      </c>
      <c r="L148" s="17">
        <f ca="1"/>
        <v>17</v>
      </c>
      <c r="M148" s="17">
        <f ca="1"/>
        <v>351.3</v>
      </c>
      <c r="N148" s="17">
        <f ca="1"/>
        <v>406</v>
      </c>
      <c r="O148" s="17">
        <f ca="1"/>
        <v>359.6</v>
      </c>
      <c r="P148" s="17">
        <f ca="1"/>
        <v>349.7</v>
      </c>
      <c r="Q148" s="17">
        <f ca="1"/>
        <v>1109.9000000000001</v>
      </c>
      <c r="R148" s="17">
        <f ca="1"/>
        <v>1109.9000000000008</v>
      </c>
      <c r="S148" s="17">
        <f ca="1"/>
        <v>1109.9000000000008</v>
      </c>
      <c r="T148" s="17">
        <f ca="1"/>
        <v>3118.341101</v>
      </c>
      <c r="U148" s="17">
        <f ca="1"/>
        <v>3409.7692900000006</v>
      </c>
      <c r="V148" s="17">
        <f ca="1"/>
        <v>2957.9233790000003</v>
      </c>
      <c r="W148" s="17">
        <f ca="1"/>
        <v>3610</v>
      </c>
      <c r="X148" s="17">
        <f ca="1"/>
        <v>3670</v>
      </c>
    </row>
    <row r="149" spans="1:24" hidden="1" x14ac:dyDescent="0.2">
      <c r="A149" t="str">
        <f ca="1"/>
        <v>Thailand</v>
      </c>
      <c r="B149" t="str">
        <f ca="1"/>
        <v>Historical Production</v>
      </c>
      <c r="C149" t="str">
        <f ca="1"/>
        <v>GWh</v>
      </c>
      <c r="D149" t="str">
        <f ca="1"/>
        <v>Transformation\Centralized Electricity Generation\Processes\Biomass Other</v>
      </c>
      <c r="E149" s="17">
        <f ca="1"/>
        <v>0</v>
      </c>
      <c r="F149" s="17">
        <f ca="1"/>
        <v>0</v>
      </c>
      <c r="G149" s="17">
        <f ca="1"/>
        <v>0</v>
      </c>
      <c r="H149" s="17">
        <f ca="1"/>
        <v>0</v>
      </c>
      <c r="I149" s="17">
        <f ca="1"/>
        <v>0</v>
      </c>
      <c r="J149" s="17">
        <f ca="1"/>
        <v>0</v>
      </c>
      <c r="K149" s="17">
        <f ca="1"/>
        <v>3123</v>
      </c>
      <c r="L149" s="17">
        <f ca="1"/>
        <v>4999.7</v>
      </c>
      <c r="M149" s="17">
        <f ca="1"/>
        <v>4949.8</v>
      </c>
      <c r="N149" s="17">
        <f ca="1"/>
        <v>4918</v>
      </c>
      <c r="O149" s="17">
        <f ca="1"/>
        <v>12379.9</v>
      </c>
      <c r="P149" s="17">
        <f ca="1"/>
        <v>15674.4</v>
      </c>
      <c r="Q149" s="17">
        <f ca="1"/>
        <v>15032.8</v>
      </c>
      <c r="R149" s="17">
        <f ca="1"/>
        <v>15032.800000000001</v>
      </c>
      <c r="S149" s="17">
        <f ca="1"/>
        <v>15032.800000000001</v>
      </c>
      <c r="T149" s="17">
        <f ca="1"/>
        <v>0</v>
      </c>
      <c r="U149" s="17">
        <f ca="1"/>
        <v>0</v>
      </c>
      <c r="V149" s="17">
        <f ca="1"/>
        <v>0</v>
      </c>
      <c r="W149" s="17">
        <f ca="1"/>
        <v>0</v>
      </c>
      <c r="X149" s="17">
        <f ca="1"/>
        <v>0</v>
      </c>
    </row>
    <row r="150" spans="1:24" hidden="1" x14ac:dyDescent="0.2">
      <c r="A150" t="str">
        <f ca="1"/>
        <v>Thailand</v>
      </c>
      <c r="B150" t="str">
        <f ca="1"/>
        <v>Historical Production</v>
      </c>
      <c r="C150" t="str">
        <f ca="1"/>
        <v>GWh</v>
      </c>
      <c r="D150" t="str">
        <f ca="1"/>
        <v>Transformation\Centralized Electricity Generation\Processes\Biomass Gasification</v>
      </c>
      <c r="E150" s="17">
        <f ca="1"/>
        <v>0</v>
      </c>
      <c r="F150" s="17">
        <f ca="1"/>
        <v>0</v>
      </c>
      <c r="G150" s="17">
        <f ca="1"/>
        <v>0</v>
      </c>
      <c r="H150" s="17">
        <f ca="1"/>
        <v>0</v>
      </c>
      <c r="I150" s="17">
        <f ca="1"/>
        <v>0</v>
      </c>
      <c r="J150" s="17">
        <f ca="1"/>
        <v>0</v>
      </c>
      <c r="K150" s="17">
        <f ca="1"/>
        <v>0</v>
      </c>
      <c r="L150" s="17">
        <f ca="1"/>
        <v>0</v>
      </c>
      <c r="M150" s="17">
        <f ca="1"/>
        <v>0</v>
      </c>
      <c r="N150" s="17">
        <f ca="1"/>
        <v>0</v>
      </c>
      <c r="O150" s="17">
        <f ca="1"/>
        <v>0</v>
      </c>
      <c r="P150" s="17">
        <f ca="1"/>
        <v>0</v>
      </c>
      <c r="Q150" s="17">
        <f ca="1"/>
        <v>0</v>
      </c>
      <c r="R150" s="17">
        <f ca="1"/>
        <v>0</v>
      </c>
      <c r="S150" s="17">
        <f ca="1"/>
        <v>0</v>
      </c>
      <c r="T150" s="17">
        <f ca="1"/>
        <v>9564.3091600000007</v>
      </c>
      <c r="U150" s="17">
        <f ca="1"/>
        <v>10223.776453999999</v>
      </c>
      <c r="V150" s="17">
        <f ca="1"/>
        <v>10932.555377999999</v>
      </c>
      <c r="W150" s="17">
        <f ca="1"/>
        <v>14150</v>
      </c>
      <c r="X150" s="17">
        <f ca="1"/>
        <v>13400</v>
      </c>
    </row>
    <row r="151" spans="1:24" hidden="1" x14ac:dyDescent="0.2">
      <c r="A151" t="str">
        <f ca="1"/>
        <v>Thailand</v>
      </c>
      <c r="B151" t="str">
        <f ca="1"/>
        <v>Historical Production</v>
      </c>
      <c r="C151" t="str">
        <f ca="1"/>
        <v>GWh</v>
      </c>
      <c r="D151" t="str">
        <f ca="1"/>
        <v>Transformation\Centralized Electricity Generation\Processes\Biogas</v>
      </c>
      <c r="E151" s="17">
        <f ca="1"/>
        <v>0</v>
      </c>
      <c r="F151" s="17">
        <f ca="1"/>
        <v>0</v>
      </c>
      <c r="G151" s="17">
        <f ca="1"/>
        <v>0</v>
      </c>
      <c r="H151" s="17">
        <f ca="1"/>
        <v>0</v>
      </c>
      <c r="I151" s="17">
        <f ca="1"/>
        <v>0</v>
      </c>
      <c r="J151" s="17">
        <f ca="1"/>
        <v>0</v>
      </c>
      <c r="K151" s="17">
        <f ca="1"/>
        <v>0</v>
      </c>
      <c r="L151" s="17">
        <f ca="1"/>
        <v>231</v>
      </c>
      <c r="M151" s="17">
        <f ca="1"/>
        <v>918.5</v>
      </c>
      <c r="N151" s="17">
        <f ca="1"/>
        <v>921.8</v>
      </c>
      <c r="O151" s="17">
        <f ca="1"/>
        <v>1400.9</v>
      </c>
      <c r="P151" s="17">
        <f ca="1"/>
        <v>2144.6</v>
      </c>
      <c r="Q151" s="17">
        <f ca="1"/>
        <v>3610.8</v>
      </c>
      <c r="R151" s="17">
        <f ca="1"/>
        <v>3610.8</v>
      </c>
      <c r="S151" s="17">
        <f ca="1"/>
        <v>3610.8</v>
      </c>
      <c r="T151" s="17">
        <f ca="1"/>
        <v>829.06218699999988</v>
      </c>
      <c r="U151" s="17">
        <f ca="1"/>
        <v>828.71840499999996</v>
      </c>
      <c r="V151" s="17">
        <f ca="1"/>
        <v>864.81539299999997</v>
      </c>
      <c r="W151" s="17">
        <f ca="1"/>
        <v>0</v>
      </c>
      <c r="X151" s="17">
        <f ca="1"/>
        <v>0</v>
      </c>
    </row>
    <row r="152" spans="1:24" hidden="1" x14ac:dyDescent="0.2">
      <c r="A152" t="str">
        <f ca="1"/>
        <v>Thailand</v>
      </c>
      <c r="B152" t="str">
        <f ca="1"/>
        <v>Historical Production</v>
      </c>
      <c r="C152" t="str">
        <f ca="1"/>
        <v>GWh</v>
      </c>
      <c r="D152" t="str">
        <f ca="1"/>
        <v>Transformation\Centralized Electricity Generation\Processes\Waste</v>
      </c>
      <c r="E152" s="17">
        <f ca="1"/>
        <v>0</v>
      </c>
      <c r="F152" s="17">
        <f ca="1"/>
        <v>0</v>
      </c>
      <c r="G152" s="17">
        <f ca="1"/>
        <v>0</v>
      </c>
      <c r="H152" s="17">
        <f ca="1"/>
        <v>0</v>
      </c>
      <c r="I152" s="17">
        <f ca="1"/>
        <v>0</v>
      </c>
      <c r="J152" s="17">
        <f ca="1"/>
        <v>0</v>
      </c>
      <c r="K152" s="17">
        <f ca="1"/>
        <v>0</v>
      </c>
      <c r="L152" s="17">
        <f ca="1"/>
        <v>0</v>
      </c>
      <c r="M152" s="17">
        <f ca="1"/>
        <v>0</v>
      </c>
      <c r="N152" s="17">
        <f ca="1"/>
        <v>0</v>
      </c>
      <c r="O152" s="17">
        <f ca="1"/>
        <v>0</v>
      </c>
      <c r="P152" s="17">
        <f ca="1"/>
        <v>0</v>
      </c>
      <c r="Q152" s="17">
        <f ca="1"/>
        <v>0</v>
      </c>
      <c r="R152" s="17">
        <f ca="1"/>
        <v>0</v>
      </c>
      <c r="S152" s="17">
        <f ca="1"/>
        <v>0</v>
      </c>
      <c r="T152" s="17">
        <f ca="1"/>
        <v>2164.8038390000002</v>
      </c>
      <c r="U152" s="17">
        <f ca="1"/>
        <v>2356.697533</v>
      </c>
      <c r="V152" s="17">
        <f ca="1"/>
        <v>2223.2466409999997</v>
      </c>
      <c r="W152" s="17">
        <f ca="1"/>
        <v>0</v>
      </c>
      <c r="X152" s="17">
        <f ca="1"/>
        <v>0</v>
      </c>
    </row>
    <row r="153" spans="1:24" hidden="1" x14ac:dyDescent="0.2">
      <c r="A153" t="s">
        <v>1</v>
      </c>
      <c r="B153" t="s">
        <v>3</v>
      </c>
      <c r="C153" t="str">
        <f>IF(B153="Existing Capacity", "MW", "GWh")</f>
        <v>GWh</v>
      </c>
      <c r="D153" t="str" cm="1">
        <f t="array" aca="1" ref="D153:X159" ca="1">_xlfn.LET(_xlpm.country,A153,
_xlpm.table,INDIRECT(IF(B153="Existing Capacity",_xlpm.country,_xlpm.country&amp;"_HP")),
_xlpm.val,_xlfn._xlws.FILTER(_xlfn.HSTACK(leap[Branch Path],leap[[2005]:[2024]]),(leap[Region]=A153)*(leap[Variable]=B153)),
_xlpm.fval,_xlfn._xlws.FILTER(_xlpm.val,_xlfn.BYROW(_xlfn.DROP(_xlpm.val,,1),_xleta.SUM)&gt;0),
_xlpm.fuel,_xlfn.TEXTAFTER(_xlfn.TAKE(_xlpm.fval,,1),"\",3),
_xlpm.mapping,VLOOKUP(_xlpm.fuel,Mapping!$B$3:$L$42,MATCH(_xlpm.country,AMS,0)+1,0),
_xlpm.id,_xlfn.MAP(MATCH(_xlpm.mapping,_xlfn.TAKE(_xlpm.table,,1),0),_xlfn.LAMBDA(_xlpm.x,IFERROR(_xlpm.x,30))),
_xlpm.fuel_val,_xlfn.DROP(_xlfn.CHOOSEROWS(_xlpm.table,_xlpm.id),,2),
_xlfn.HSTACK(_xlfn.TAKE(_xlpm.fval,,1),_xlpm.fuel_val))</f>
        <v>Transformation\Centralized Electricity Generation\Processes\Coal Subcritical</v>
      </c>
      <c r="E153" s="17">
        <f ca="1"/>
        <v>0</v>
      </c>
      <c r="F153" s="17">
        <f ca="1"/>
        <v>0</v>
      </c>
      <c r="G153" s="17">
        <f ca="1"/>
        <v>0</v>
      </c>
      <c r="H153" s="17">
        <f ca="1"/>
        <v>0</v>
      </c>
      <c r="I153" s="17">
        <f ca="1"/>
        <v>0</v>
      </c>
      <c r="J153" s="17">
        <f ca="1"/>
        <v>0</v>
      </c>
      <c r="K153" s="17">
        <f ca="1"/>
        <v>0</v>
      </c>
      <c r="L153" s="17">
        <f ca="1"/>
        <v>0</v>
      </c>
      <c r="M153" s="17">
        <f ca="1"/>
        <v>0</v>
      </c>
      <c r="N153" s="17">
        <f ca="1"/>
        <v>0</v>
      </c>
      <c r="O153" s="17">
        <f ca="1"/>
        <v>0</v>
      </c>
      <c r="P153" s="17">
        <f ca="1"/>
        <v>0</v>
      </c>
      <c r="Q153" s="17">
        <f ca="1"/>
        <v>0</v>
      </c>
      <c r="R153" s="17">
        <f ca="1"/>
        <v>91654</v>
      </c>
      <c r="S153" s="17">
        <f ca="1"/>
        <v>120157</v>
      </c>
      <c r="T153" s="17">
        <f ca="1"/>
        <v>123182</v>
      </c>
      <c r="U153" s="17">
        <f ca="1"/>
        <v>118999</v>
      </c>
      <c r="V153" s="17">
        <f ca="1"/>
        <v>104541</v>
      </c>
      <c r="W153" s="17">
        <f ca="1"/>
        <v>130191</v>
      </c>
      <c r="X153" s="17">
        <f ca="1"/>
        <v>156782</v>
      </c>
    </row>
    <row r="154" spans="1:24" hidden="1" x14ac:dyDescent="0.2">
      <c r="A154" t="str" cm="1">
        <f t="array" aca="1" ref="A154:A159" ca="1">_xlfn.TOCOL(IF(_xlfn.SEQUENCE(, ROWS(_xlfn.ANCHORARRAY(D153))-1)&lt;=ROWS(_xlfn.ANCHORARRAY(D153))-1,A153,NA()))</f>
        <v>Vietnam</v>
      </c>
      <c r="B154" t="str" cm="1">
        <f t="array" aca="1" ref="B154:B159" ca="1">_xlfn.TOCOL(IF(_xlfn.SEQUENCE(, ROWS(_xlfn.ANCHORARRAY(D153))-1)&lt;=ROWS(_xlfn.ANCHORARRAY(D153))-1,B153,NA()))</f>
        <v>Historical Production</v>
      </c>
      <c r="C154" t="str" cm="1">
        <f t="array" aca="1" ref="C154:C159" ca="1">_xlfn.TOCOL(IF(_xlfn.SEQUENCE(, ROWS(_xlfn.ANCHORARRAY(D153))-1)&lt;=ROWS(_xlfn.ANCHORARRAY(D153))-1,C153,NA()))</f>
        <v>GWh</v>
      </c>
      <c r="D154" t="str">
        <f ca="1"/>
        <v>Transformation\Centralized Electricity Generation\Processes\Diesel</v>
      </c>
      <c r="E154" s="17">
        <f ca="1"/>
        <v>0</v>
      </c>
      <c r="F154" s="17">
        <f ca="1"/>
        <v>0</v>
      </c>
      <c r="G154" s="17">
        <f ca="1"/>
        <v>0</v>
      </c>
      <c r="H154" s="17">
        <f ca="1"/>
        <v>0</v>
      </c>
      <c r="I154" s="17">
        <f ca="1"/>
        <v>0</v>
      </c>
      <c r="J154" s="17">
        <f ca="1"/>
        <v>0</v>
      </c>
      <c r="K154" s="17">
        <f ca="1"/>
        <v>0</v>
      </c>
      <c r="L154" s="17">
        <f ca="1"/>
        <v>0</v>
      </c>
      <c r="M154" s="17">
        <f ca="1"/>
        <v>0</v>
      </c>
      <c r="N154" s="17">
        <f ca="1"/>
        <v>0</v>
      </c>
      <c r="O154" s="17">
        <f ca="1"/>
        <v>0</v>
      </c>
      <c r="P154" s="17">
        <f ca="1"/>
        <v>0</v>
      </c>
      <c r="Q154" s="17">
        <f ca="1"/>
        <v>0</v>
      </c>
      <c r="R154" s="17">
        <f ca="1"/>
        <v>751</v>
      </c>
      <c r="S154" s="17">
        <f ca="1"/>
        <v>2213</v>
      </c>
      <c r="T154" s="17">
        <f ca="1"/>
        <v>15</v>
      </c>
      <c r="U154" s="17">
        <f ca="1"/>
        <v>4</v>
      </c>
      <c r="V154" s="17">
        <f ca="1"/>
        <v>22</v>
      </c>
      <c r="W154" s="17">
        <f ca="1"/>
        <v>29</v>
      </c>
      <c r="X154" s="17">
        <f ca="1"/>
        <v>25</v>
      </c>
    </row>
    <row r="155" spans="1:24" hidden="1" x14ac:dyDescent="0.2">
      <c r="A155" t="str">
        <f ca="1"/>
        <v>Vietnam</v>
      </c>
      <c r="B155" t="str">
        <f ca="1"/>
        <v>Historical Production</v>
      </c>
      <c r="C155" t="str">
        <f ca="1"/>
        <v>GWh</v>
      </c>
      <c r="D155" t="str">
        <f ca="1"/>
        <v>Transformation\Centralized Electricity Generation\Processes\Gas Combined Cycle</v>
      </c>
      <c r="E155" s="17">
        <f ca="1"/>
        <v>0</v>
      </c>
      <c r="F155" s="17">
        <f ca="1"/>
        <v>0</v>
      </c>
      <c r="G155" s="17">
        <f ca="1"/>
        <v>0</v>
      </c>
      <c r="H155" s="17">
        <f ca="1"/>
        <v>0</v>
      </c>
      <c r="I155" s="17">
        <f ca="1"/>
        <v>0</v>
      </c>
      <c r="J155" s="17">
        <f ca="1"/>
        <v>0</v>
      </c>
      <c r="K155" s="17">
        <f ca="1"/>
        <v>0</v>
      </c>
      <c r="L155" s="17">
        <f ca="1"/>
        <v>0</v>
      </c>
      <c r="M155" s="17">
        <f ca="1"/>
        <v>0</v>
      </c>
      <c r="N155" s="17">
        <f ca="1"/>
        <v>0</v>
      </c>
      <c r="O155" s="17">
        <f ca="1"/>
        <v>0</v>
      </c>
      <c r="P155" s="17">
        <f ca="1"/>
        <v>0</v>
      </c>
      <c r="Q155" s="17">
        <f ca="1"/>
        <v>0</v>
      </c>
      <c r="R155" s="17">
        <f ca="1"/>
        <v>40562</v>
      </c>
      <c r="S155" s="17">
        <f ca="1"/>
        <v>42402</v>
      </c>
      <c r="T155" s="17">
        <f ca="1"/>
        <v>34800</v>
      </c>
      <c r="U155" s="17">
        <f ca="1"/>
        <v>26311</v>
      </c>
      <c r="V155" s="17">
        <f ca="1"/>
        <v>29410</v>
      </c>
      <c r="W155" s="17">
        <f ca="1"/>
        <v>26372</v>
      </c>
      <c r="X155" s="17">
        <f ca="1"/>
        <v>21829</v>
      </c>
    </row>
    <row r="156" spans="1:24" hidden="1" x14ac:dyDescent="0.2">
      <c r="A156" t="str">
        <f ca="1"/>
        <v>Vietnam</v>
      </c>
      <c r="B156" t="str">
        <f ca="1"/>
        <v>Historical Production</v>
      </c>
      <c r="C156" t="str">
        <f ca="1"/>
        <v>GWh</v>
      </c>
      <c r="D156" t="str">
        <f ca="1"/>
        <v>Transformation\Centralized Electricity Generation\Processes\Large Hydro</v>
      </c>
      <c r="E156" s="17">
        <f ca="1"/>
        <v>0</v>
      </c>
      <c r="F156" s="17">
        <f ca="1"/>
        <v>0</v>
      </c>
      <c r="G156" s="17">
        <f ca="1"/>
        <v>0</v>
      </c>
      <c r="H156" s="17">
        <f ca="1"/>
        <v>0</v>
      </c>
      <c r="I156" s="17">
        <f ca="1"/>
        <v>0</v>
      </c>
      <c r="J156" s="17">
        <f ca="1"/>
        <v>0</v>
      </c>
      <c r="K156" s="17">
        <f ca="1"/>
        <v>0</v>
      </c>
      <c r="L156" s="17">
        <f ca="1"/>
        <v>0</v>
      </c>
      <c r="M156" s="17">
        <f ca="1"/>
        <v>0</v>
      </c>
      <c r="N156" s="17">
        <f ca="1"/>
        <v>0</v>
      </c>
      <c r="O156" s="17">
        <f ca="1"/>
        <v>0</v>
      </c>
      <c r="P156" s="17">
        <f ca="1"/>
        <v>0</v>
      </c>
      <c r="Q156" s="17">
        <f ca="1"/>
        <v>0</v>
      </c>
      <c r="R156" s="17">
        <f ca="1"/>
        <v>83081</v>
      </c>
      <c r="S156" s="17">
        <f ca="1"/>
        <v>66117</v>
      </c>
      <c r="T156" s="17">
        <f ca="1"/>
        <v>72832</v>
      </c>
      <c r="U156" s="17">
        <f ca="1"/>
        <v>78393</v>
      </c>
      <c r="V156" s="17">
        <f ca="1"/>
        <v>95848</v>
      </c>
      <c r="W156" s="17">
        <f ca="1"/>
        <v>80595</v>
      </c>
      <c r="X156" s="17">
        <f ca="1"/>
        <v>88723</v>
      </c>
    </row>
    <row r="157" spans="1:24" hidden="1" x14ac:dyDescent="0.2">
      <c r="A157" t="str">
        <f ca="1"/>
        <v>Vietnam</v>
      </c>
      <c r="B157" t="str">
        <f ca="1"/>
        <v>Historical Production</v>
      </c>
      <c r="C157" t="str">
        <f ca="1"/>
        <v>GWh</v>
      </c>
      <c r="D157" t="str">
        <f ca="1"/>
        <v>Transformation\Centralized Electricity Generation\Processes\Solar PV</v>
      </c>
      <c r="E157" s="17">
        <f ca="1"/>
        <v>0</v>
      </c>
      <c r="F157" s="17">
        <f ca="1"/>
        <v>0</v>
      </c>
      <c r="G157" s="17">
        <f ca="1"/>
        <v>0</v>
      </c>
      <c r="H157" s="17">
        <f ca="1"/>
        <v>0</v>
      </c>
      <c r="I157" s="17">
        <f ca="1"/>
        <v>0</v>
      </c>
      <c r="J157" s="17">
        <f ca="1"/>
        <v>0</v>
      </c>
      <c r="K157" s="17">
        <f ca="1"/>
        <v>0</v>
      </c>
      <c r="L157" s="17">
        <f ca="1"/>
        <v>0</v>
      </c>
      <c r="M157" s="17">
        <f ca="1"/>
        <v>0</v>
      </c>
      <c r="N157" s="17">
        <f ca="1"/>
        <v>0</v>
      </c>
      <c r="O157" s="17">
        <f ca="1"/>
        <v>0</v>
      </c>
      <c r="P157" s="17">
        <f ca="1"/>
        <v>0</v>
      </c>
      <c r="Q157" s="17">
        <f ca="1"/>
        <v>0</v>
      </c>
      <c r="R157" s="17">
        <f ca="1"/>
        <v>22</v>
      </c>
      <c r="S157" s="17">
        <f ca="1"/>
        <v>4818</v>
      </c>
      <c r="T157" s="17">
        <f ca="1"/>
        <v>10281</v>
      </c>
      <c r="U157" s="17">
        <f ca="1"/>
        <v>27762</v>
      </c>
      <c r="V157" s="17">
        <f ca="1"/>
        <v>28397</v>
      </c>
      <c r="W157" s="17">
        <f ca="1"/>
        <v>27222</v>
      </c>
      <c r="X157" s="17">
        <f ca="1"/>
        <v>27777</v>
      </c>
    </row>
    <row r="158" spans="1:24" hidden="1" x14ac:dyDescent="0.2">
      <c r="A158" t="str">
        <f ca="1"/>
        <v>Vietnam</v>
      </c>
      <c r="B158" t="str">
        <f ca="1"/>
        <v>Historical Production</v>
      </c>
      <c r="C158" t="str">
        <f ca="1"/>
        <v>GWh</v>
      </c>
      <c r="D158" t="str">
        <f ca="1"/>
        <v>Transformation\Centralized Electricity Generation\Processes\Wind Onshore</v>
      </c>
      <c r="E158" s="17">
        <f ca="1"/>
        <v>0</v>
      </c>
      <c r="F158" s="17">
        <f ca="1"/>
        <v>0</v>
      </c>
      <c r="G158" s="17">
        <f ca="1"/>
        <v>0</v>
      </c>
      <c r="H158" s="17">
        <f ca="1"/>
        <v>0</v>
      </c>
      <c r="I158" s="17">
        <f ca="1"/>
        <v>0</v>
      </c>
      <c r="J158" s="17">
        <f ca="1"/>
        <v>0</v>
      </c>
      <c r="K158" s="17">
        <f ca="1"/>
        <v>0</v>
      </c>
      <c r="L158" s="17">
        <f ca="1"/>
        <v>0</v>
      </c>
      <c r="M158" s="17">
        <f ca="1"/>
        <v>0</v>
      </c>
      <c r="N158" s="17">
        <f ca="1"/>
        <v>0</v>
      </c>
      <c r="O158" s="17">
        <f ca="1"/>
        <v>0</v>
      </c>
      <c r="P158" s="17">
        <f ca="1"/>
        <v>0</v>
      </c>
      <c r="Q158" s="17">
        <f ca="1"/>
        <v>0</v>
      </c>
      <c r="R158" s="17">
        <f ca="1"/>
        <v>487</v>
      </c>
      <c r="S158" s="17">
        <f ca="1"/>
        <v>724</v>
      </c>
      <c r="T158" s="17">
        <f ca="1"/>
        <v>982</v>
      </c>
      <c r="U158" s="17">
        <f ca="1"/>
        <v>3349</v>
      </c>
      <c r="V158" s="17">
        <f ca="1"/>
        <v>9090</v>
      </c>
      <c r="W158" s="17">
        <f ca="1"/>
        <v>11583</v>
      </c>
      <c r="X158" s="17">
        <f ca="1"/>
        <v>12747</v>
      </c>
    </row>
    <row r="159" spans="1:24" hidden="1" x14ac:dyDescent="0.2">
      <c r="A159" t="str">
        <f ca="1"/>
        <v>Vietnam</v>
      </c>
      <c r="B159" t="str">
        <f ca="1"/>
        <v>Historical Production</v>
      </c>
      <c r="C159" t="str">
        <f ca="1"/>
        <v>GWh</v>
      </c>
      <c r="D159" t="str">
        <f ca="1"/>
        <v>Transformation\Centralized Electricity Generation\Processes\Biomass Other</v>
      </c>
      <c r="E159" s="17">
        <f ca="1"/>
        <v>0</v>
      </c>
      <c r="F159" s="17">
        <f ca="1"/>
        <v>0</v>
      </c>
      <c r="G159" s="17">
        <f ca="1"/>
        <v>0</v>
      </c>
      <c r="H159" s="17">
        <f ca="1"/>
        <v>0</v>
      </c>
      <c r="I159" s="17">
        <f ca="1"/>
        <v>0</v>
      </c>
      <c r="J159" s="17">
        <f ca="1"/>
        <v>0</v>
      </c>
      <c r="K159" s="17">
        <f ca="1"/>
        <v>0</v>
      </c>
      <c r="L159" s="17">
        <f ca="1"/>
        <v>0</v>
      </c>
      <c r="M159" s="17">
        <f ca="1"/>
        <v>0</v>
      </c>
      <c r="N159" s="17">
        <f ca="1"/>
        <v>0</v>
      </c>
      <c r="O159" s="17">
        <f ca="1"/>
        <v>0</v>
      </c>
      <c r="P159" s="17">
        <f ca="1"/>
        <v>0</v>
      </c>
      <c r="Q159" s="17">
        <f ca="1"/>
        <v>0</v>
      </c>
      <c r="R159" s="17">
        <f ca="1"/>
        <v>488</v>
      </c>
      <c r="S159" s="17">
        <f ca="1"/>
        <v>350</v>
      </c>
      <c r="T159" s="17">
        <f ca="1"/>
        <v>340</v>
      </c>
      <c r="U159" s="17">
        <f ca="1"/>
        <v>321</v>
      </c>
      <c r="V159" s="17">
        <f ca="1"/>
        <v>378</v>
      </c>
      <c r="W159" s="17">
        <f ca="1"/>
        <v>867</v>
      </c>
      <c r="X159" s="17">
        <f ca="1"/>
        <v>1032</v>
      </c>
    </row>
    <row r="160" spans="1:24" x14ac:dyDescent="0.2">
      <c r="A160" t="s">
        <v>22</v>
      </c>
      <c r="B160" t="str" cm="1">
        <f t="array" ref="B160:X191">_xlfn.DROP(_xlfn.CHOOSECOLS(MYS_Fractioned,2,8,1,_xlfn.SEQUENCE(,20,9)),1)</f>
        <v>Existing Capacity</v>
      </c>
      <c r="C160" t="str">
        <v>MW</v>
      </c>
      <c r="D160" t="str">
        <v>Transformation\CentralizedElectricityGeneration\Processes\Coal Subcritical_MYPE</v>
      </c>
      <c r="E160" t="e">
        <v>#REF!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9648.1</v>
      </c>
      <c r="U160">
        <v>9459.6</v>
      </c>
      <c r="V160">
        <v>9604.2999999999993</v>
      </c>
      <c r="W160">
        <v>9702.7999999999993</v>
      </c>
      <c r="X160">
        <v>9702.7999999999993</v>
      </c>
    </row>
    <row r="161" spans="1:24" x14ac:dyDescent="0.2">
      <c r="A161" t="str" cm="1">
        <f t="array" ref="A161:A191">_xlfn.TOCOL(IF(_xlfn.SEQUENCE(, ROWS(_xlfn.ANCHORARRAY(B160))-1)&lt;=ROWS(_xlfn.ANCHORARRAY(B160))-1,A160,NA()))</f>
        <v>Malaysia</v>
      </c>
      <c r="B161" t="str">
        <v>Existing Capacity</v>
      </c>
      <c r="C161" t="str">
        <v>MW</v>
      </c>
      <c r="D161" t="str">
        <v>Transformation\CentralizedElectricityGeneration\Processes\Diesel_MYPE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60.1</v>
      </c>
      <c r="U161">
        <v>-41.600000000000023</v>
      </c>
      <c r="V161">
        <v>35.229999999999933</v>
      </c>
      <c r="W161">
        <v>213.10000000000002</v>
      </c>
      <c r="X161">
        <v>244.7</v>
      </c>
    </row>
    <row r="162" spans="1:24" x14ac:dyDescent="0.2">
      <c r="A162" t="str">
        <v>Malaysia</v>
      </c>
      <c r="B162" t="str">
        <v>Existing Capacity</v>
      </c>
      <c r="C162" t="str">
        <v>MW</v>
      </c>
      <c r="D162" t="str">
        <v>Transformation\CentralizedElectricityGeneration\Processes\Gas Combined Cycle_MYPE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10653.6</v>
      </c>
      <c r="U162">
        <v>10763.4</v>
      </c>
      <c r="V162">
        <v>10896.38</v>
      </c>
      <c r="W162">
        <v>11552.4</v>
      </c>
      <c r="X162">
        <v>12130</v>
      </c>
    </row>
    <row r="163" spans="1:24" x14ac:dyDescent="0.2">
      <c r="A163" t="str">
        <v>Malaysia</v>
      </c>
      <c r="B163" t="str">
        <v>Existing Capacity</v>
      </c>
      <c r="C163" t="str">
        <v>MW</v>
      </c>
      <c r="D163" t="str">
        <v>Transformation\CentralizedElectricityGeneration\Processes\Large Hydro_MYPE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2640.9999999999991</v>
      </c>
      <c r="U163">
        <v>2510.3000000000002</v>
      </c>
      <c r="V163">
        <v>2649.3</v>
      </c>
      <c r="W163">
        <v>2536.1999999999998</v>
      </c>
      <c r="X163">
        <v>2556.1999999999998</v>
      </c>
    </row>
    <row r="164" spans="1:24" x14ac:dyDescent="0.2">
      <c r="A164" t="str">
        <v>Malaysia</v>
      </c>
      <c r="B164" t="str">
        <v>Existing Capacity</v>
      </c>
      <c r="C164" t="str">
        <v>MW</v>
      </c>
      <c r="D164" t="str">
        <v>Transformation\CentralizedElectricityGeneration\Processes\Solar PV_MYPE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1220.7000000000003</v>
      </c>
      <c r="U164">
        <v>1717.9</v>
      </c>
      <c r="V164">
        <v>2337.2999999999997</v>
      </c>
      <c r="W164">
        <v>1844.1999999999998</v>
      </c>
      <c r="X164">
        <v>2224.1999999999998</v>
      </c>
    </row>
    <row r="165" spans="1:24" x14ac:dyDescent="0.2">
      <c r="A165" t="str">
        <v>Malaysia</v>
      </c>
      <c r="B165" t="str">
        <v>Existing Capacity</v>
      </c>
      <c r="C165" t="str">
        <v>MW</v>
      </c>
      <c r="D165" t="str">
        <v>Transformation\CentralizedElectricityGeneration\Processes\Biomass Other_MYPE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442.20000000000005</v>
      </c>
      <c r="U165">
        <v>338.6</v>
      </c>
      <c r="V165">
        <v>109.13</v>
      </c>
      <c r="W165">
        <v>635.69999999999993</v>
      </c>
      <c r="X165">
        <v>644.79999999999995</v>
      </c>
    </row>
    <row r="166" spans="1:24" x14ac:dyDescent="0.2">
      <c r="A166" t="str">
        <v>Malaysia</v>
      </c>
      <c r="B166" t="str">
        <v>Existing Capacity</v>
      </c>
      <c r="C166" t="str">
        <v>MW</v>
      </c>
      <c r="D166" t="str">
        <v>Transformation\CentralizedElectricityGeneration\Processes\Diesel_MYSB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361</v>
      </c>
      <c r="U166">
        <v>278.60000000000002</v>
      </c>
      <c r="V166">
        <v>439.6</v>
      </c>
      <c r="W166">
        <v>340</v>
      </c>
      <c r="X166">
        <v>340</v>
      </c>
    </row>
    <row r="167" spans="1:24" x14ac:dyDescent="0.2">
      <c r="A167" t="str">
        <v>Malaysia</v>
      </c>
      <c r="B167" t="str">
        <v>Existing Capacity</v>
      </c>
      <c r="C167" t="str">
        <v>MW</v>
      </c>
      <c r="D167" t="str">
        <v>Transformation\CentralizedElectricityGeneration\Processes\Gas Combined Cycle_MYSB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1194.0999999999999</v>
      </c>
      <c r="U167">
        <v>1194</v>
      </c>
      <c r="V167">
        <v>1182.5</v>
      </c>
      <c r="W167">
        <v>1182.5</v>
      </c>
      <c r="X167">
        <v>1182.5</v>
      </c>
    </row>
    <row r="168" spans="1:24" x14ac:dyDescent="0.2">
      <c r="A168" t="str">
        <v>Malaysia</v>
      </c>
      <c r="B168" t="str">
        <v>Existing Capacity</v>
      </c>
      <c r="C168" t="str">
        <v>MW</v>
      </c>
      <c r="D168" t="str">
        <v>Transformation\CentralizedElectricityGeneration\Processes\Large Hydro_MYSB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87.6</v>
      </c>
      <c r="U168">
        <v>99.6</v>
      </c>
      <c r="V168">
        <v>101.8</v>
      </c>
      <c r="W168">
        <v>101.8</v>
      </c>
      <c r="X168">
        <v>101.8</v>
      </c>
    </row>
    <row r="169" spans="1:24" x14ac:dyDescent="0.2">
      <c r="A169" t="str">
        <v>Malaysia</v>
      </c>
      <c r="B169" t="str">
        <v>Existing Capacity</v>
      </c>
      <c r="C169" t="str">
        <v>MW</v>
      </c>
      <c r="D169" t="str">
        <v>Transformation\CentralizedElectricityGeneration\Processes\Solar PV_MYSB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114.3</v>
      </c>
      <c r="U169">
        <v>114.3</v>
      </c>
      <c r="V169">
        <v>85.8</v>
      </c>
      <c r="W169">
        <v>85.8</v>
      </c>
      <c r="X169">
        <v>85.8</v>
      </c>
    </row>
    <row r="170" spans="1:24" x14ac:dyDescent="0.2">
      <c r="A170" t="str">
        <v>Malaysia</v>
      </c>
      <c r="B170" t="str">
        <v>Existing Capacity</v>
      </c>
      <c r="C170" t="str">
        <v>MW</v>
      </c>
      <c r="D170" t="str">
        <v>Transformation\CentralizedElectricityGeneration\Processes\Biomass Other_MYSB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190.6</v>
      </c>
      <c r="U170">
        <v>178.89999999999998</v>
      </c>
      <c r="V170">
        <v>183.3</v>
      </c>
      <c r="W170">
        <v>183.3</v>
      </c>
      <c r="X170">
        <v>183.3</v>
      </c>
    </row>
    <row r="171" spans="1:24" x14ac:dyDescent="0.2">
      <c r="A171" t="str">
        <v>Malaysia</v>
      </c>
      <c r="B171" t="str">
        <v>Existing Capacity</v>
      </c>
      <c r="C171" t="str">
        <v>MW</v>
      </c>
      <c r="D171" t="str">
        <v>Transformation\CentralizedElectricityGeneration\Processes\Coal Subcritical_MYSR</v>
      </c>
      <c r="E171" t="e">
        <v>#REF!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1104</v>
      </c>
      <c r="U171">
        <v>1104</v>
      </c>
      <c r="V171">
        <v>1054</v>
      </c>
      <c r="W171">
        <v>1054</v>
      </c>
      <c r="X171">
        <v>1054</v>
      </c>
    </row>
    <row r="172" spans="1:24" x14ac:dyDescent="0.2">
      <c r="A172" t="str">
        <v>Malaysia</v>
      </c>
      <c r="B172" t="str">
        <v>Existing Capacity</v>
      </c>
      <c r="C172" t="str">
        <v>MW</v>
      </c>
      <c r="D172" t="str">
        <v>Transformation\CentralizedElectricityGeneration\Processes\Diesel_MYSR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117.2</v>
      </c>
      <c r="U172">
        <v>114.6</v>
      </c>
      <c r="V172">
        <v>121.1</v>
      </c>
      <c r="W172">
        <v>64</v>
      </c>
      <c r="X172">
        <v>64</v>
      </c>
    </row>
    <row r="173" spans="1:24" x14ac:dyDescent="0.2">
      <c r="A173" t="str">
        <v>Malaysia</v>
      </c>
      <c r="B173" t="str">
        <v>Existing Capacity</v>
      </c>
      <c r="C173" t="str">
        <v>MW</v>
      </c>
      <c r="D173" t="str">
        <v>Transformation\CentralizedElectricityGeneration\Processes\Gas Combined Cycle_MYSR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981</v>
      </c>
      <c r="U173">
        <v>1394</v>
      </c>
      <c r="V173">
        <v>1806.6</v>
      </c>
      <c r="W173">
        <v>1706</v>
      </c>
      <c r="X173">
        <v>1706</v>
      </c>
    </row>
    <row r="174" spans="1:24" x14ac:dyDescent="0.2">
      <c r="A174" t="str">
        <v>Malaysia</v>
      </c>
      <c r="B174" t="str">
        <v>Existing Capacity</v>
      </c>
      <c r="C174" t="str">
        <v>MW</v>
      </c>
      <c r="D174" t="str">
        <v>Transformation\CentralizedElectricityGeneration\Processes\Large Hydro_MYSR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3459.8</v>
      </c>
      <c r="U174">
        <v>3470.9</v>
      </c>
      <c r="V174">
        <v>3458.2</v>
      </c>
      <c r="W174">
        <v>3572</v>
      </c>
      <c r="X174">
        <v>3572</v>
      </c>
    </row>
    <row r="175" spans="1:24" x14ac:dyDescent="0.2">
      <c r="A175" t="str">
        <v>Malaysia</v>
      </c>
      <c r="B175" t="str">
        <v>Existing Capacity</v>
      </c>
      <c r="C175" t="str">
        <v>MW</v>
      </c>
      <c r="D175" t="str">
        <v>Transformation\CentralizedElectricityGeneration\Processes\Biomass Other_MYSR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57.800000000000004</v>
      </c>
      <c r="U175">
        <v>63.2</v>
      </c>
      <c r="V175">
        <v>34.200000000000003</v>
      </c>
      <c r="W175">
        <v>0</v>
      </c>
      <c r="X175">
        <v>0</v>
      </c>
    </row>
    <row r="176" spans="1:24" x14ac:dyDescent="0.2">
      <c r="A176" t="str">
        <v>Malaysia</v>
      </c>
      <c r="B176" t="str">
        <v>Historical Production</v>
      </c>
      <c r="C176" t="str">
        <v>Gigawatt-Hour</v>
      </c>
      <c r="D176" t="str">
        <v>Transformation\CentralizedElectricityGeneration\Processes\Coal Subcritical_MYPE</v>
      </c>
      <c r="E176" t="e">
        <v>#VALUE!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2">
      <c r="A177" t="str">
        <v>Malaysia</v>
      </c>
      <c r="B177" t="str">
        <v>Historical Production</v>
      </c>
      <c r="C177" t="str">
        <v>Gigawatt-Hour</v>
      </c>
      <c r="D177" t="str">
        <v>Transformation\CentralizedElectricityGeneration\Processes\Diesel_MYPE</v>
      </c>
      <c r="E177" t="e">
        <v>#VALUE!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x14ac:dyDescent="0.2">
      <c r="A178" t="str">
        <v>Malaysia</v>
      </c>
      <c r="B178" t="str">
        <v>Historical Production</v>
      </c>
      <c r="C178" t="str">
        <v>Gigawatt-Hour</v>
      </c>
      <c r="D178" t="str">
        <v>Transformation\CentralizedElectricityGeneration\Processes\Gas Combined Cycle_MYPE</v>
      </c>
      <c r="E178" t="e">
        <v>#VALUE!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2">
      <c r="A179" t="str">
        <v>Malaysia</v>
      </c>
      <c r="B179" t="str">
        <v>Historical Production</v>
      </c>
      <c r="C179" t="str">
        <v>Gigawatt-Hour</v>
      </c>
      <c r="D179" t="str">
        <v>Transformation\CentralizedElectricityGeneration\Processes\Large Hydro_MYPE</v>
      </c>
      <c r="E179" t="e">
        <v>#VALUE!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2">
      <c r="A180" t="str">
        <v>Malaysia</v>
      </c>
      <c r="B180" t="str">
        <v>Historical Production</v>
      </c>
      <c r="C180" t="str">
        <v>Gigawatt-Hour</v>
      </c>
      <c r="D180" t="str">
        <v>Transformation\CentralizedElectricityGeneration\Processes\Solar PV_MYPE</v>
      </c>
      <c r="E180" t="e">
        <v>#VALUE!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2">
      <c r="A181" t="str">
        <v>Malaysia</v>
      </c>
      <c r="B181" t="str">
        <v>Historical Production</v>
      </c>
      <c r="C181" t="str">
        <v>Gigawatt-Hour</v>
      </c>
      <c r="D181" t="str">
        <v>Transformation\CentralizedElectricityGeneration\Processes\Biomass Other_MYPE</v>
      </c>
      <c r="E181" t="e">
        <v>#VALUE!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2">
      <c r="A182" t="str">
        <v>Malaysia</v>
      </c>
      <c r="B182" t="str">
        <v>Historical Production</v>
      </c>
      <c r="C182" t="str">
        <v>Gigawatt-Hour</v>
      </c>
      <c r="D182" t="str">
        <v>Transformation\CentralizedElectricityGeneration\Processes\Diesel_MYSB</v>
      </c>
      <c r="E182" t="e">
        <v>#VALUE!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2">
      <c r="A183" t="str">
        <v>Malaysia</v>
      </c>
      <c r="B183" t="str">
        <v>Historical Production</v>
      </c>
      <c r="C183" t="str">
        <v>Gigawatt-Hour</v>
      </c>
      <c r="D183" t="str">
        <v>Transformation\CentralizedElectricityGeneration\Processes\Gas Combined Cycle_MYSB</v>
      </c>
      <c r="E183" t="e">
        <v>#VALUE!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2">
      <c r="A184" t="str">
        <v>Malaysia</v>
      </c>
      <c r="B184" t="str">
        <v>Historical Production</v>
      </c>
      <c r="C184" t="str">
        <v>Gigawatt-Hour</v>
      </c>
      <c r="D184" t="str">
        <v>Transformation\CentralizedElectricityGeneration\Processes\Large Hydro_MYSB</v>
      </c>
      <c r="E184" t="e">
        <v>#VALUE!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2">
      <c r="A185" t="str">
        <v>Malaysia</v>
      </c>
      <c r="B185" t="str">
        <v>Historical Production</v>
      </c>
      <c r="C185" t="str">
        <v>Gigawatt-Hour</v>
      </c>
      <c r="D185" t="str">
        <v>Transformation\CentralizedElectricityGeneration\Processes\Solar PV_MYSB</v>
      </c>
      <c r="E185" t="e">
        <v>#VALUE!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2">
      <c r="A186" t="str">
        <v>Malaysia</v>
      </c>
      <c r="B186" t="str">
        <v>Historical Production</v>
      </c>
      <c r="C186" t="str">
        <v>Gigawatt-Hour</v>
      </c>
      <c r="D186" t="str">
        <v>Transformation\CentralizedElectricityGeneration\Processes\Biomass Other_MYSB</v>
      </c>
      <c r="E186" t="e">
        <v>#VALUE!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x14ac:dyDescent="0.2">
      <c r="A187" t="str">
        <v>Malaysia</v>
      </c>
      <c r="B187" t="str">
        <v>Historical Production</v>
      </c>
      <c r="C187" t="str">
        <v>Gigawatt-Hour</v>
      </c>
      <c r="D187" t="str">
        <v>Transformation\CentralizedElectricityGeneration\Processes\Coal Subcritical_MYSR</v>
      </c>
      <c r="E187" t="e">
        <v>#VALUE!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2">
      <c r="A188" t="str">
        <v>Malaysia</v>
      </c>
      <c r="B188" t="str">
        <v>Historical Production</v>
      </c>
      <c r="C188" t="str">
        <v>Gigawatt-Hour</v>
      </c>
      <c r="D188" t="str">
        <v>Transformation\CentralizedElectricityGeneration\Processes\Diesel_MYSR</v>
      </c>
      <c r="E188" t="e">
        <v>#VALUE!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x14ac:dyDescent="0.2">
      <c r="A189" t="str">
        <v>Malaysia</v>
      </c>
      <c r="B189" t="str">
        <v>Historical Production</v>
      </c>
      <c r="C189" t="str">
        <v>Gigawatt-Hour</v>
      </c>
      <c r="D189" t="str">
        <v>Transformation\CentralizedElectricityGeneration\Processes\Gas Combined Cycle_MYSR</v>
      </c>
      <c r="E189" t="e">
        <v>#VALUE!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 t="str">
        <v>Malaysia</v>
      </c>
      <c r="B190" t="str">
        <v>Historical Production</v>
      </c>
      <c r="C190" t="str">
        <v>Gigawatt-Hour</v>
      </c>
      <c r="D190" t="str">
        <v>Transformation\CentralizedElectricityGeneration\Processes\Large Hydro_MYSR</v>
      </c>
      <c r="E190" t="e">
        <v>#VALUE!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2">
      <c r="A191" t="str">
        <v>Malaysia</v>
      </c>
      <c r="B191" t="str">
        <v>Historical Production</v>
      </c>
      <c r="C191" t="str">
        <v>Gigawatt-Hour</v>
      </c>
      <c r="D191" t="str">
        <v>Transformation\CentralizedElectricityGeneration\Processes\Biomass Other_MYSR</v>
      </c>
      <c r="E191" t="e">
        <v>#VALUE!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</sheetData>
  <autoFilter ref="A1:X191" xr:uid="{A14BA1BD-3E0A-4C77-A9C1-36D3B1473E6F}">
    <filterColumn colId="0">
      <filters>
        <filter val="Malaysia"/>
      </filters>
    </filterColumn>
  </autoFilter>
  <dataValidations count="1">
    <dataValidation type="list" allowBlank="1" showInputMessage="1" showErrorMessage="1" sqref="B2 B7 B13 B27 B32 B40 B50 B58 B63 B76 B83 B88 B94 B108 B112 B120 B129 B137 B142 B153" xr:uid="{1A9258AD-EDDE-460B-B6AF-E7C7CE0C140F}">
      <formula1>"Existing Capacity, Historical Production"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EC6996-6C64-4F59-A276-5BAB6C80CF86}">
          <x14:formula1>
            <xm:f>Mapping!$N$4:$N$13</xm:f>
          </x14:formula1>
          <xm:sqref>A2 A7 A13 A27 A32 A40 A50 A58 A63 A76 A83 A88 A94 A108 A112 A120 A129 A137 A142 A153 A160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1BB2-E134-4EA1-B6EA-726ACD4F6A78}">
  <dimension ref="A1:BT81"/>
  <sheetViews>
    <sheetView zoomScale="55" zoomScaleNormal="55" workbookViewId="0">
      <pane xSplit="7" ySplit="1" topLeftCell="U2" activePane="bottomRight" state="frozen"/>
      <selection pane="topRight" activeCell="G1" sqref="G1"/>
      <selection pane="bottomLeft" activeCell="A2" sqref="A2"/>
      <selection pane="bottomRight" activeCell="A38" sqref="A38"/>
    </sheetView>
  </sheetViews>
  <sheetFormatPr defaultRowHeight="14.25" x14ac:dyDescent="0.2"/>
  <cols>
    <col min="1" max="1" width="75.125" bestFit="1" customWidth="1"/>
    <col min="2" max="2" width="18.375" bestFit="1" customWidth="1"/>
    <col min="3" max="3" width="9.25" bestFit="1" customWidth="1"/>
    <col min="4" max="4" width="45.5" customWidth="1"/>
    <col min="5" max="5" width="52.625" customWidth="1"/>
    <col min="6" max="7" width="30.625" customWidth="1"/>
    <col min="8" max="8" width="6.625" bestFit="1" customWidth="1"/>
    <col min="9" max="23" width="6.25" customWidth="1"/>
    <col min="24" max="24" width="7.375" style="17" bestFit="1" customWidth="1"/>
    <col min="25" max="28" width="6.25" customWidth="1"/>
    <col min="29" max="29" width="10.25" style="22" customWidth="1"/>
    <col min="30" max="30" width="24.75" bestFit="1" customWidth="1"/>
    <col min="31" max="31" width="9" bestFit="1" customWidth="1"/>
    <col min="32" max="32" width="12.5" customWidth="1"/>
    <col min="37" max="37" width="7.25" customWidth="1"/>
    <col min="44" max="49" width="7.5" bestFit="1" customWidth="1"/>
    <col min="50" max="52" width="13" bestFit="1" customWidth="1"/>
  </cols>
  <sheetData>
    <row r="1" spans="1:72" ht="15" x14ac:dyDescent="0.25">
      <c r="A1" s="21" t="s">
        <v>91</v>
      </c>
      <c r="B1" s="21" t="s">
        <v>2</v>
      </c>
      <c r="C1" s="21" t="s">
        <v>93</v>
      </c>
      <c r="D1" s="21" t="s">
        <v>166</v>
      </c>
      <c r="E1" s="21" t="s">
        <v>167</v>
      </c>
      <c r="F1" s="21" t="s">
        <v>10</v>
      </c>
      <c r="G1" s="21" t="s">
        <v>45</v>
      </c>
      <c r="H1" s="21" t="s">
        <v>46</v>
      </c>
      <c r="I1" s="21">
        <v>2005</v>
      </c>
      <c r="J1" s="21">
        <v>2006</v>
      </c>
      <c r="K1" s="21">
        <v>2007</v>
      </c>
      <c r="L1" s="21">
        <v>2008</v>
      </c>
      <c r="M1" s="21">
        <v>2009</v>
      </c>
      <c r="N1" s="21">
        <v>2010</v>
      </c>
      <c r="O1" s="21">
        <v>2011</v>
      </c>
      <c r="P1" s="21">
        <v>2012</v>
      </c>
      <c r="Q1" s="21">
        <v>2013</v>
      </c>
      <c r="R1" s="21">
        <v>2014</v>
      </c>
      <c r="S1" s="21">
        <v>2015</v>
      </c>
      <c r="T1" s="21">
        <v>2016</v>
      </c>
      <c r="U1" s="21">
        <v>2017</v>
      </c>
      <c r="V1" s="21">
        <v>2018</v>
      </c>
      <c r="W1" s="21">
        <v>2019</v>
      </c>
      <c r="X1" s="21">
        <v>2020</v>
      </c>
      <c r="Y1" s="21">
        <v>2021</v>
      </c>
      <c r="Z1" s="21">
        <v>2022</v>
      </c>
      <c r="AA1" s="21">
        <v>2023</v>
      </c>
      <c r="AB1" s="21">
        <v>2024</v>
      </c>
      <c r="AF1" t="s">
        <v>102</v>
      </c>
      <c r="BA1" t="s">
        <v>3</v>
      </c>
    </row>
    <row r="2" spans="1:72" ht="15" x14ac:dyDescent="0.25">
      <c r="A2" t="str">
        <f>"Transformation\CentralizedElectricityGeneration\Processes\"&amp;G2</f>
        <v>Transformation\CentralizedElectricityGeneration\Processes\Coal Subcritical_MYPE</v>
      </c>
      <c r="B2" t="s">
        <v>102</v>
      </c>
      <c r="C2" t="s">
        <v>168</v>
      </c>
      <c r="D2" s="23" t="s">
        <v>169</v>
      </c>
      <c r="E2" t="s">
        <v>170</v>
      </c>
      <c r="F2" t="s">
        <v>24</v>
      </c>
      <c r="G2" t="str">
        <f>$F2&amp;"_"&amp;Input_MYS_Adj!$C2</f>
        <v>Coal Subcritical_MYPE</v>
      </c>
      <c r="H2" t="s">
        <v>103</v>
      </c>
      <c r="I2" s="17" t="e" cm="1">
        <f t="array" ref="I2:W17">AF13:AT28</f>
        <v>#REF!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 cm="1">
        <f t="array" ref="X2:AB17">_xlfn.ANCHORARRAY(AJ56)</f>
        <v>9648.1</v>
      </c>
      <c r="Y2" s="17">
        <v>9459.6</v>
      </c>
      <c r="Z2" s="17">
        <v>9604.2999999999993</v>
      </c>
      <c r="AA2" s="17">
        <v>9702.7999999999993</v>
      </c>
      <c r="AB2" s="17">
        <v>9702.7999999999993</v>
      </c>
      <c r="AC2" s="24"/>
      <c r="AD2" s="25" t="s">
        <v>171</v>
      </c>
      <c r="AE2" s="25" t="s">
        <v>93</v>
      </c>
      <c r="AF2" s="25" cm="1">
        <f t="array" ref="AF2:AY2">_xlfn.SEQUENCE(,20,2005)</f>
        <v>2005</v>
      </c>
      <c r="AG2" s="25">
        <v>2006</v>
      </c>
      <c r="AH2" s="25">
        <v>2007</v>
      </c>
      <c r="AI2" s="25">
        <v>2008</v>
      </c>
      <c r="AJ2" s="25">
        <v>2009</v>
      </c>
      <c r="AK2" s="25">
        <v>2010</v>
      </c>
      <c r="AL2" s="25">
        <v>2011</v>
      </c>
      <c r="AM2" s="25">
        <v>2012</v>
      </c>
      <c r="AN2" s="25">
        <v>2013</v>
      </c>
      <c r="AO2" s="25">
        <v>2014</v>
      </c>
      <c r="AP2" s="25">
        <v>2015</v>
      </c>
      <c r="AQ2" s="25">
        <v>2016</v>
      </c>
      <c r="AR2" s="25">
        <v>2017</v>
      </c>
      <c r="AS2" s="25">
        <v>2018</v>
      </c>
      <c r="AT2" s="25">
        <v>2019</v>
      </c>
      <c r="AU2" s="25">
        <v>2020</v>
      </c>
      <c r="AV2" s="25">
        <v>2021</v>
      </c>
      <c r="AW2" s="25">
        <v>2022</v>
      </c>
      <c r="AX2" s="25">
        <v>2023</v>
      </c>
      <c r="AY2" s="25">
        <v>2024</v>
      </c>
      <c r="BA2" s="25" cm="1">
        <f t="array" ref="BA2:BT2">_xlfn.SEQUENCE(,20,2005)</f>
        <v>2005</v>
      </c>
      <c r="BB2" s="25">
        <v>2006</v>
      </c>
      <c r="BC2" s="25">
        <v>2007</v>
      </c>
      <c r="BD2" s="25">
        <v>2008</v>
      </c>
      <c r="BE2" s="25">
        <v>2009</v>
      </c>
      <c r="BF2" s="25">
        <v>2010</v>
      </c>
      <c r="BG2" s="25">
        <v>2011</v>
      </c>
      <c r="BH2" s="25">
        <v>2012</v>
      </c>
      <c r="BI2" s="25">
        <v>2013</v>
      </c>
      <c r="BJ2" s="25">
        <v>2014</v>
      </c>
      <c r="BK2" s="25">
        <v>2015</v>
      </c>
      <c r="BL2" s="25">
        <v>2016</v>
      </c>
      <c r="BM2" s="25">
        <v>2017</v>
      </c>
      <c r="BN2" s="25">
        <v>2018</v>
      </c>
      <c r="BO2" s="25">
        <v>2019</v>
      </c>
      <c r="BP2" s="25">
        <v>2020</v>
      </c>
      <c r="BQ2" s="25">
        <v>2021</v>
      </c>
      <c r="BR2" s="25">
        <v>2022</v>
      </c>
      <c r="BS2" s="25">
        <v>2023</v>
      </c>
      <c r="BT2" s="25">
        <v>2024</v>
      </c>
    </row>
    <row r="3" spans="1:72" x14ac:dyDescent="0.2">
      <c r="A3" t="str">
        <f t="shared" ref="A3:A33" si="0">"Transformation\CentralizedElectricityGeneration\Processes\"&amp;G3</f>
        <v>Transformation\CentralizedElectricityGeneration\Processes\Diesel_MYPE</v>
      </c>
      <c r="B3" t="s">
        <v>102</v>
      </c>
      <c r="C3" t="s">
        <v>168</v>
      </c>
      <c r="D3" s="23" t="s">
        <v>169</v>
      </c>
      <c r="E3" t="s">
        <v>170</v>
      </c>
      <c r="F3" t="s">
        <v>172</v>
      </c>
      <c r="G3" t="str">
        <f>$F3&amp;"_"&amp;Input_MYS_Adj!$C3</f>
        <v>Diesel_MYPE</v>
      </c>
      <c r="H3" t="s">
        <v>103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60.1</v>
      </c>
      <c r="Y3" s="17">
        <v>-41.600000000000023</v>
      </c>
      <c r="Z3" s="17">
        <v>35.229999999999933</v>
      </c>
      <c r="AA3" s="17">
        <v>213.10000000000002</v>
      </c>
      <c r="AB3" s="17">
        <v>244.7</v>
      </c>
      <c r="AC3" s="24"/>
      <c r="AD3" t="s">
        <v>24</v>
      </c>
      <c r="AE3" t="s">
        <v>22</v>
      </c>
      <c r="AF3" s="17" t="e" cm="1">
        <f t="array" ref="AF3">_xlfn.CHOOSECOLS(_xlfn._xlws.FILTER([1]!CA_ori[#Data],([1]!CA_ori[Variable]=AF1)*([1]!CA_ori[Region]="Malaysia")*(
ISNUMBER(MATCH(_xlfn.TEXTAFTER([1]!CA_ori[Branch Path],"\",3),Input_MYS_Adj!AD3:AD8,0)))),_xlfn.SEQUENCE(,20,13))</f>
        <v>#REF!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BA3" s="17" t="e" cm="1">
        <f t="array" ref="BA3">_xlfn.CHOOSECOLS(_xlfn._xlws.FILTER([1]!CA_ori[#Data],([1]!CA_ori[Variable]=BA1)*([1]!CA_ori[Region]="Malaysia")*(
ISNUMBER(MATCH(_xlfn.TEXTAFTER([1]!CA_ori[Branch Path],"\",3),Input_MYS_Adj!AD3:AD8,0)))),_xlfn.SEQUENCE(,20,13))</f>
        <v>#REF!</v>
      </c>
    </row>
    <row r="4" spans="1:72" x14ac:dyDescent="0.2">
      <c r="A4" t="str">
        <f t="shared" si="0"/>
        <v>Transformation\CentralizedElectricityGeneration\Processes\Gas Combined Cycle_MYPE</v>
      </c>
      <c r="B4" t="s">
        <v>102</v>
      </c>
      <c r="C4" t="s">
        <v>168</v>
      </c>
      <c r="D4" s="23" t="s">
        <v>169</v>
      </c>
      <c r="E4" t="s">
        <v>170</v>
      </c>
      <c r="F4" t="s">
        <v>173</v>
      </c>
      <c r="G4" t="str">
        <f>$F4&amp;"_"&amp;Input_MYS_Adj!$C4</f>
        <v>Gas Combined Cycle_MYPE</v>
      </c>
      <c r="H4" t="s">
        <v>103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10653.6</v>
      </c>
      <c r="Y4" s="17">
        <v>10763.4</v>
      </c>
      <c r="Z4" s="17">
        <v>10896.38</v>
      </c>
      <c r="AA4" s="17">
        <v>11552.4</v>
      </c>
      <c r="AB4" s="17">
        <v>12130</v>
      </c>
      <c r="AC4" s="24"/>
      <c r="AD4" t="s">
        <v>172</v>
      </c>
      <c r="AE4" t="s">
        <v>22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BA4" s="17"/>
    </row>
    <row r="5" spans="1:72" x14ac:dyDescent="0.2">
      <c r="A5" t="str">
        <f t="shared" si="0"/>
        <v>Transformation\CentralizedElectricityGeneration\Processes\Large Hydro_MYPE</v>
      </c>
      <c r="B5" t="s">
        <v>102</v>
      </c>
      <c r="C5" t="s">
        <v>168</v>
      </c>
      <c r="D5" s="23" t="s">
        <v>169</v>
      </c>
      <c r="E5" t="s">
        <v>170</v>
      </c>
      <c r="F5" t="s">
        <v>39</v>
      </c>
      <c r="G5" t="str">
        <f>$F5&amp;"_"&amp;Input_MYS_Adj!$C5</f>
        <v>Large Hydro_MYPE</v>
      </c>
      <c r="H5" t="s">
        <v>103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2640.9999999999991</v>
      </c>
      <c r="Y5" s="17">
        <v>2510.3000000000002</v>
      </c>
      <c r="Z5" s="17">
        <v>2649.3</v>
      </c>
      <c r="AA5" s="17">
        <v>2536.1999999999998</v>
      </c>
      <c r="AB5" s="17">
        <v>2556.1999999999998</v>
      </c>
      <c r="AC5" s="24"/>
      <c r="AD5" t="s">
        <v>173</v>
      </c>
      <c r="AE5" t="s">
        <v>22</v>
      </c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BA5" s="17"/>
    </row>
    <row r="6" spans="1:72" x14ac:dyDescent="0.2">
      <c r="A6" t="str">
        <f t="shared" si="0"/>
        <v>Transformation\CentralizedElectricityGeneration\Processes\Solar PV_MYPE</v>
      </c>
      <c r="B6" t="s">
        <v>102</v>
      </c>
      <c r="C6" t="s">
        <v>168</v>
      </c>
      <c r="D6" s="23" t="s">
        <v>169</v>
      </c>
      <c r="E6" t="s">
        <v>170</v>
      </c>
      <c r="F6" t="s">
        <v>42</v>
      </c>
      <c r="G6" t="str">
        <f>$F6&amp;"_"&amp;Input_MYS_Adj!$C6</f>
        <v>Solar PV_MYPE</v>
      </c>
      <c r="H6" t="s">
        <v>103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1220.7000000000003</v>
      </c>
      <c r="Y6" s="17">
        <v>1717.9</v>
      </c>
      <c r="Z6" s="17">
        <v>2337.2999999999997</v>
      </c>
      <c r="AA6" s="17">
        <v>1844.1999999999998</v>
      </c>
      <c r="AB6" s="17">
        <v>2224.1999999999998</v>
      </c>
      <c r="AC6" s="24"/>
      <c r="AD6" t="s">
        <v>39</v>
      </c>
      <c r="AE6" t="s">
        <v>22</v>
      </c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BA6" s="17"/>
    </row>
    <row r="7" spans="1:72" x14ac:dyDescent="0.2">
      <c r="A7" t="str">
        <f t="shared" si="0"/>
        <v>Transformation\CentralizedElectricityGeneration\Processes\Biomass Other_MYPE</v>
      </c>
      <c r="B7" t="s">
        <v>102</v>
      </c>
      <c r="C7" t="s">
        <v>168</v>
      </c>
      <c r="D7" s="23" t="s">
        <v>169</v>
      </c>
      <c r="E7" t="s">
        <v>170</v>
      </c>
      <c r="F7" t="s">
        <v>18</v>
      </c>
      <c r="G7" t="str">
        <f>$F7&amp;"_"&amp;Input_MYS_Adj!$C7</f>
        <v>Biomass Other_MYPE</v>
      </c>
      <c r="H7" t="s">
        <v>103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442.20000000000005</v>
      </c>
      <c r="Y7" s="17">
        <v>338.6</v>
      </c>
      <c r="Z7" s="17">
        <v>109.13</v>
      </c>
      <c r="AA7" s="17">
        <v>635.69999999999993</v>
      </c>
      <c r="AB7" s="17">
        <v>644.79999999999995</v>
      </c>
      <c r="AC7" s="24"/>
      <c r="AD7" t="s">
        <v>42</v>
      </c>
      <c r="AE7" t="s">
        <v>22</v>
      </c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BA7" s="17"/>
    </row>
    <row r="8" spans="1:72" x14ac:dyDescent="0.2">
      <c r="A8" t="str">
        <f t="shared" si="0"/>
        <v>Transformation\CentralizedElectricityGeneration\Processes\Diesel_MYSB</v>
      </c>
      <c r="B8" t="s">
        <v>102</v>
      </c>
      <c r="C8" t="s">
        <v>174</v>
      </c>
      <c r="D8" t="s">
        <v>175</v>
      </c>
      <c r="E8" t="s">
        <v>170</v>
      </c>
      <c r="F8" t="s">
        <v>172</v>
      </c>
      <c r="G8" t="str">
        <f>$F8&amp;"_"&amp;Input_MYS_Adj!$C8</f>
        <v>Diesel_MYSB</v>
      </c>
      <c r="H8" t="s">
        <v>103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361</v>
      </c>
      <c r="Y8" s="17">
        <v>278.60000000000002</v>
      </c>
      <c r="Z8" s="17">
        <v>439.6</v>
      </c>
      <c r="AA8" s="17">
        <v>340</v>
      </c>
      <c r="AB8" s="17">
        <v>340</v>
      </c>
      <c r="AC8" s="24"/>
      <c r="AD8" t="s">
        <v>18</v>
      </c>
      <c r="AE8" t="s">
        <v>22</v>
      </c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BA8" s="17"/>
    </row>
    <row r="9" spans="1:72" x14ac:dyDescent="0.2">
      <c r="A9" t="str">
        <f t="shared" si="0"/>
        <v>Transformation\CentralizedElectricityGeneration\Processes\Gas Combined Cycle_MYSB</v>
      </c>
      <c r="B9" t="s">
        <v>102</v>
      </c>
      <c r="C9" t="s">
        <v>174</v>
      </c>
      <c r="D9" t="s">
        <v>175</v>
      </c>
      <c r="E9" t="s">
        <v>170</v>
      </c>
      <c r="F9" t="s">
        <v>173</v>
      </c>
      <c r="G9" t="str">
        <f>$F9&amp;"_"&amp;Input_MYS_Adj!$C9</f>
        <v>Gas Combined Cycle_MYSB</v>
      </c>
      <c r="H9" t="s">
        <v>103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1194.0999999999999</v>
      </c>
      <c r="Y9" s="17">
        <v>1194</v>
      </c>
      <c r="Z9" s="17">
        <v>1182.5</v>
      </c>
      <c r="AA9" s="17">
        <v>1182.5</v>
      </c>
      <c r="AB9" s="17">
        <v>1182.5</v>
      </c>
      <c r="AC9" s="24"/>
    </row>
    <row r="10" spans="1:72" x14ac:dyDescent="0.2">
      <c r="A10" t="str">
        <f t="shared" si="0"/>
        <v>Transformation\CentralizedElectricityGeneration\Processes\Large Hydro_MYSB</v>
      </c>
      <c r="B10" t="s">
        <v>102</v>
      </c>
      <c r="C10" t="s">
        <v>174</v>
      </c>
      <c r="D10" t="s">
        <v>175</v>
      </c>
      <c r="E10" t="s">
        <v>170</v>
      </c>
      <c r="F10" t="s">
        <v>39</v>
      </c>
      <c r="G10" t="str">
        <f>$F10&amp;"_"&amp;Input_MYS_Adj!$C10</f>
        <v>Large Hydro_MYSB</v>
      </c>
      <c r="H10" t="s">
        <v>103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87.6</v>
      </c>
      <c r="Y10" s="17">
        <v>99.6</v>
      </c>
      <c r="Z10" s="17">
        <v>101.8</v>
      </c>
      <c r="AA10" s="17">
        <v>101.8</v>
      </c>
      <c r="AB10" s="17">
        <v>101.8</v>
      </c>
      <c r="AC10" s="24"/>
      <c r="AD10" t="s">
        <v>176</v>
      </c>
    </row>
    <row r="11" spans="1:72" ht="15" x14ac:dyDescent="0.25">
      <c r="A11" t="str">
        <f t="shared" si="0"/>
        <v>Transformation\CentralizedElectricityGeneration\Processes\Solar PV_MYSB</v>
      </c>
      <c r="B11" t="s">
        <v>102</v>
      </c>
      <c r="C11" t="s">
        <v>174</v>
      </c>
      <c r="D11" t="s">
        <v>175</v>
      </c>
      <c r="E11" t="s">
        <v>170</v>
      </c>
      <c r="F11" t="s">
        <v>42</v>
      </c>
      <c r="G11" t="str">
        <f>$F11&amp;"_"&amp;Input_MYS_Adj!$C11</f>
        <v>Solar PV_MYSB</v>
      </c>
      <c r="H11" t="s">
        <v>103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114.3</v>
      </c>
      <c r="Y11" s="17">
        <v>114.3</v>
      </c>
      <c r="Z11" s="17">
        <v>85.8</v>
      </c>
      <c r="AA11" s="17">
        <v>85.8</v>
      </c>
      <c r="AB11" s="17">
        <v>85.8</v>
      </c>
      <c r="AC11" s="24"/>
      <c r="AF11" s="21" t="s">
        <v>102</v>
      </c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</row>
    <row r="12" spans="1:72" ht="15" x14ac:dyDescent="0.25">
      <c r="A12" t="str">
        <f t="shared" si="0"/>
        <v>Transformation\CentralizedElectricityGeneration\Processes\Biomass Other_MYSB</v>
      </c>
      <c r="B12" t="s">
        <v>102</v>
      </c>
      <c r="C12" t="s">
        <v>174</v>
      </c>
      <c r="D12" t="s">
        <v>175</v>
      </c>
      <c r="E12" t="s">
        <v>170</v>
      </c>
      <c r="F12" t="s">
        <v>18</v>
      </c>
      <c r="G12" t="str">
        <f>$F12&amp;"_"&amp;Input_MYS_Adj!$C12</f>
        <v>Biomass Other_MYSB</v>
      </c>
      <c r="H12" t="s">
        <v>103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190.6</v>
      </c>
      <c r="Y12" s="17">
        <v>178.89999999999998</v>
      </c>
      <c r="Z12" s="17">
        <v>183.3</v>
      </c>
      <c r="AA12" s="17">
        <v>183.3</v>
      </c>
      <c r="AB12" s="17">
        <v>183.3</v>
      </c>
      <c r="AC12" s="24"/>
      <c r="AD12" s="25" t="s">
        <v>171</v>
      </c>
      <c r="AE12" s="25" t="s">
        <v>93</v>
      </c>
      <c r="AF12" s="25" cm="1">
        <f t="array" ref="AF12:AT12">_xlfn.SEQUENCE(,15,2005)</f>
        <v>2005</v>
      </c>
      <c r="AG12" s="21">
        <v>2006</v>
      </c>
      <c r="AH12" s="21">
        <v>2007</v>
      </c>
      <c r="AI12" s="21">
        <v>2008</v>
      </c>
      <c r="AJ12" s="21">
        <v>2009</v>
      </c>
      <c r="AK12" s="21">
        <v>2010</v>
      </c>
      <c r="AL12" s="21">
        <v>2011</v>
      </c>
      <c r="AM12" s="27">
        <v>2012</v>
      </c>
      <c r="AN12" s="27">
        <v>2013</v>
      </c>
      <c r="AO12" s="27">
        <v>2014</v>
      </c>
      <c r="AP12" s="27">
        <v>2015</v>
      </c>
      <c r="AQ12" s="27">
        <v>2016</v>
      </c>
      <c r="AR12" s="27">
        <v>2017</v>
      </c>
      <c r="AS12" s="27">
        <v>2018</v>
      </c>
      <c r="AT12" s="27">
        <v>2019</v>
      </c>
      <c r="AU12" s="26"/>
      <c r="AV12" s="26"/>
      <c r="AW12" s="26"/>
      <c r="AX12" s="26"/>
      <c r="AY12" s="26"/>
      <c r="AZ12" s="26"/>
      <c r="BA12" s="26" cm="1">
        <f t="array" ref="BA12:BT12">_xlfn.ANCHORARRAY(BA2)</f>
        <v>2005</v>
      </c>
      <c r="BB12">
        <v>2006</v>
      </c>
      <c r="BC12">
        <v>2007</v>
      </c>
      <c r="BD12">
        <v>2008</v>
      </c>
      <c r="BE12">
        <v>2009</v>
      </c>
      <c r="BF12">
        <v>2010</v>
      </c>
      <c r="BG12">
        <v>2011</v>
      </c>
      <c r="BH12">
        <v>2012</v>
      </c>
      <c r="BI12">
        <v>2013</v>
      </c>
      <c r="BJ12">
        <v>2014</v>
      </c>
      <c r="BK12">
        <v>2015</v>
      </c>
      <c r="BL12">
        <v>2016</v>
      </c>
      <c r="BM12">
        <v>2017</v>
      </c>
      <c r="BN12">
        <v>2018</v>
      </c>
      <c r="BO12">
        <v>2019</v>
      </c>
      <c r="BP12">
        <v>2020</v>
      </c>
      <c r="BQ12">
        <v>2021</v>
      </c>
      <c r="BR12">
        <v>2022</v>
      </c>
      <c r="BS12">
        <v>2023</v>
      </c>
      <c r="BT12">
        <v>2024</v>
      </c>
    </row>
    <row r="13" spans="1:72" x14ac:dyDescent="0.2">
      <c r="A13" t="str">
        <f t="shared" si="0"/>
        <v>Transformation\CentralizedElectricityGeneration\Processes\Coal Subcritical_MYSR</v>
      </c>
      <c r="B13" t="s">
        <v>102</v>
      </c>
      <c r="C13" t="s">
        <v>177</v>
      </c>
      <c r="D13" t="s">
        <v>175</v>
      </c>
      <c r="E13" t="s">
        <v>170</v>
      </c>
      <c r="F13" t="s">
        <v>24</v>
      </c>
      <c r="G13" t="str">
        <f>$F13&amp;"_"&amp;Input_MYS_Adj!$C13</f>
        <v>Coal Subcritical_MYSR</v>
      </c>
      <c r="H13" t="s">
        <v>103</v>
      </c>
      <c r="I13" s="17" t="e">
        <v>#REF!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1104</v>
      </c>
      <c r="Y13" s="17">
        <v>1104</v>
      </c>
      <c r="Z13" s="17">
        <v>1054</v>
      </c>
      <c r="AA13" s="17">
        <v>1054</v>
      </c>
      <c r="AB13" s="17">
        <v>1054</v>
      </c>
      <c r="AC13" s="24"/>
      <c r="AD13" t="str" cm="1">
        <f t="array" ref="AD13:AD28">G2:G17</f>
        <v>Coal Subcritical_MYPE</v>
      </c>
      <c r="AE13" t="s">
        <v>22</v>
      </c>
      <c r="AF13" s="17" t="e" cm="1">
        <f t="array" ref="AF13:AT18">_xlfn._xlws.FILTER($AF$3:$AT$8,ISNUMBER(MATCH($AD$3:$AD$8,_xlfn.ANCHORARRAY(AI31),0)))*AK31:AK36</f>
        <v>#REF!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26"/>
      <c r="AV13" s="26"/>
      <c r="AW13" s="26"/>
      <c r="AX13" s="26"/>
      <c r="AY13" s="26"/>
      <c r="AZ13" s="26"/>
      <c r="BA13" t="e" cm="1">
        <f t="array" ref="BA13:BA18">_xlfn._xlws.FILTER(_xlfn.ANCHORARRAY(BA3),ISNUMBER(MATCH($AD$3:$AD$8,_xlfn.ANCHORARRAY(AI31),0)))*AK31:AK36</f>
        <v>#VALUE!</v>
      </c>
    </row>
    <row r="14" spans="1:72" x14ac:dyDescent="0.2">
      <c r="A14" t="str">
        <f t="shared" si="0"/>
        <v>Transformation\CentralizedElectricityGeneration\Processes\Diesel_MYSR</v>
      </c>
      <c r="B14" t="s">
        <v>102</v>
      </c>
      <c r="C14" t="s">
        <v>177</v>
      </c>
      <c r="D14" t="s">
        <v>175</v>
      </c>
      <c r="E14" t="s">
        <v>170</v>
      </c>
      <c r="F14" t="s">
        <v>172</v>
      </c>
      <c r="G14" t="str">
        <f>$F14&amp;"_"&amp;Input_MYS_Adj!$C14</f>
        <v>Diesel_MYSR</v>
      </c>
      <c r="H14" t="s">
        <v>103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117.2</v>
      </c>
      <c r="Y14" s="17">
        <v>114.6</v>
      </c>
      <c r="Z14" s="17">
        <v>121.1</v>
      </c>
      <c r="AA14" s="17">
        <v>64</v>
      </c>
      <c r="AB14" s="17">
        <v>64</v>
      </c>
      <c r="AC14" s="24"/>
      <c r="AD14" t="str">
        <v>Diesel_MYPE</v>
      </c>
      <c r="AE14" t="s">
        <v>22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26"/>
      <c r="AV14" s="26"/>
      <c r="AW14" s="26"/>
      <c r="AX14" s="26"/>
      <c r="AY14" s="26"/>
      <c r="AZ14" s="26"/>
      <c r="BA14" t="e">
        <v>#VALUE!</v>
      </c>
    </row>
    <row r="15" spans="1:72" x14ac:dyDescent="0.2">
      <c r="A15" t="str">
        <f t="shared" si="0"/>
        <v>Transformation\CentralizedElectricityGeneration\Processes\Gas Combined Cycle_MYSR</v>
      </c>
      <c r="B15" t="s">
        <v>102</v>
      </c>
      <c r="C15" t="s">
        <v>177</v>
      </c>
      <c r="D15" t="s">
        <v>175</v>
      </c>
      <c r="E15" t="s">
        <v>170</v>
      </c>
      <c r="F15" t="s">
        <v>173</v>
      </c>
      <c r="G15" t="str">
        <f>$F15&amp;"_"&amp;Input_MYS_Adj!$C15</f>
        <v>Gas Combined Cycle_MYSR</v>
      </c>
      <c r="H15" t="s">
        <v>103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981</v>
      </c>
      <c r="Y15" s="17">
        <v>1394</v>
      </c>
      <c r="Z15" s="17">
        <v>1806.6</v>
      </c>
      <c r="AA15" s="17">
        <v>1706</v>
      </c>
      <c r="AB15" s="17">
        <v>1706</v>
      </c>
      <c r="AC15" s="24"/>
      <c r="AD15" t="str">
        <v>Gas Combined Cycle_MYPE</v>
      </c>
      <c r="AE15" t="s">
        <v>22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26"/>
      <c r="AV15" s="26"/>
      <c r="AW15" s="26"/>
      <c r="AX15" s="26"/>
      <c r="AY15" s="26"/>
      <c r="AZ15" s="26"/>
      <c r="BA15" t="e">
        <v>#VALUE!</v>
      </c>
    </row>
    <row r="16" spans="1:72" x14ac:dyDescent="0.2">
      <c r="A16" t="str">
        <f t="shared" si="0"/>
        <v>Transformation\CentralizedElectricityGeneration\Processes\Large Hydro_MYSR</v>
      </c>
      <c r="B16" t="s">
        <v>102</v>
      </c>
      <c r="C16" t="s">
        <v>177</v>
      </c>
      <c r="D16" t="s">
        <v>175</v>
      </c>
      <c r="E16" t="s">
        <v>170</v>
      </c>
      <c r="F16" t="s">
        <v>39</v>
      </c>
      <c r="G16" t="str">
        <f>$F16&amp;"_"&amp;Input_MYS_Adj!$C16</f>
        <v>Large Hydro_MYSR</v>
      </c>
      <c r="H16" t="s">
        <v>103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3459.8</v>
      </c>
      <c r="Y16" s="17">
        <v>3470.9</v>
      </c>
      <c r="Z16" s="17">
        <v>3458.2</v>
      </c>
      <c r="AA16" s="17">
        <v>3572</v>
      </c>
      <c r="AB16" s="17">
        <v>3572</v>
      </c>
      <c r="AC16" s="24"/>
      <c r="AD16" t="str">
        <v>Large Hydro_MYPE</v>
      </c>
      <c r="AE16" t="s">
        <v>22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26"/>
      <c r="AV16" s="26"/>
      <c r="AW16" s="26"/>
      <c r="AX16" s="26"/>
      <c r="AY16" s="26"/>
      <c r="AZ16" s="26"/>
      <c r="BA16" t="e">
        <v>#VALUE!</v>
      </c>
    </row>
    <row r="17" spans="1:53" x14ac:dyDescent="0.2">
      <c r="A17" t="str">
        <f t="shared" si="0"/>
        <v>Transformation\CentralizedElectricityGeneration\Processes\Biomass Other_MYSR</v>
      </c>
      <c r="B17" t="s">
        <v>102</v>
      </c>
      <c r="C17" t="s">
        <v>177</v>
      </c>
      <c r="D17" t="s">
        <v>175</v>
      </c>
      <c r="E17" t="s">
        <v>170</v>
      </c>
      <c r="F17" t="s">
        <v>18</v>
      </c>
      <c r="G17" t="str">
        <f>$F17&amp;"_"&amp;Input_MYS_Adj!$C17</f>
        <v>Biomass Other_MYSR</v>
      </c>
      <c r="H17" t="s">
        <v>103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57.800000000000004</v>
      </c>
      <c r="Y17" s="17">
        <v>63.2</v>
      </c>
      <c r="Z17" s="17">
        <v>34.200000000000003</v>
      </c>
      <c r="AA17" s="17">
        <v>0</v>
      </c>
      <c r="AB17" s="17">
        <v>0</v>
      </c>
      <c r="AC17" s="24"/>
      <c r="AD17" t="str">
        <v>Solar PV_MYPE</v>
      </c>
      <c r="AE17" t="s">
        <v>22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26"/>
      <c r="AV17" s="26"/>
      <c r="AW17" s="26"/>
      <c r="AX17" s="26"/>
      <c r="AY17" s="26"/>
      <c r="AZ17" s="26"/>
      <c r="BA17" t="e">
        <v>#VALUE!</v>
      </c>
    </row>
    <row r="18" spans="1:53" x14ac:dyDescent="0.2">
      <c r="A18" t="str">
        <f t="shared" si="0"/>
        <v>Transformation\CentralizedElectricityGeneration\Processes\Coal Subcritical_MYPE</v>
      </c>
      <c r="B18" t="s">
        <v>3</v>
      </c>
      <c r="C18" t="s">
        <v>168</v>
      </c>
      <c r="E18" t="s">
        <v>201</v>
      </c>
      <c r="F18" t="s">
        <v>24</v>
      </c>
      <c r="G18" t="s">
        <v>178</v>
      </c>
      <c r="H18" t="s">
        <v>100</v>
      </c>
      <c r="I18" t="e" cm="1">
        <f t="array" ref="I18:AB33">BA13:BT28</f>
        <v>#VALUE!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24"/>
      <c r="AD18" t="str">
        <v>Biomass Other_MYPE</v>
      </c>
      <c r="AE18" t="s">
        <v>22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26"/>
      <c r="AV18" s="26"/>
      <c r="AW18" s="26"/>
      <c r="AX18" s="26"/>
      <c r="AY18" s="26"/>
      <c r="AZ18" s="26"/>
      <c r="BA18" t="e">
        <v>#VALUE!</v>
      </c>
    </row>
    <row r="19" spans="1:53" x14ac:dyDescent="0.2">
      <c r="A19" t="str">
        <f t="shared" si="0"/>
        <v>Transformation\CentralizedElectricityGeneration\Processes\Diesel_MYPE</v>
      </c>
      <c r="B19" t="s">
        <v>3</v>
      </c>
      <c r="C19" t="s">
        <v>168</v>
      </c>
      <c r="E19" t="s">
        <v>201</v>
      </c>
      <c r="F19" t="s">
        <v>172</v>
      </c>
      <c r="G19" t="s">
        <v>181</v>
      </c>
      <c r="H19" t="s">
        <v>100</v>
      </c>
      <c r="I19" t="e">
        <v>#VALUE!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24"/>
      <c r="AD19" t="str">
        <v>Diesel_MYSB</v>
      </c>
      <c r="AE19" t="s">
        <v>22</v>
      </c>
      <c r="AF19" s="17" cm="1">
        <f t="array" ref="AF19:AT23">_xlfn._xlws.FILTER($AF$3:$AT$8,ISNUMBER(MATCH($AD$3:$AD$8,_xlfn.ANCHORARRAY(AI37),0)))*AK37:AK41</f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26"/>
      <c r="AV19" s="26"/>
      <c r="AW19" s="26"/>
      <c r="AX19" s="26"/>
      <c r="AY19" s="26"/>
      <c r="AZ19" s="26"/>
      <c r="BA19" t="e" cm="1">
        <f t="array" ref="BA19:BA23">_xlfn._xlws.FILTER(_xlfn.ANCHORARRAY(BA3),ISNUMBER(MATCH($AD$3:$AD$8,_xlfn.ANCHORARRAY(AI37),0)))*AK37:AK41</f>
        <v>#VALUE!</v>
      </c>
    </row>
    <row r="20" spans="1:53" x14ac:dyDescent="0.2">
      <c r="A20" t="str">
        <f t="shared" si="0"/>
        <v>Transformation\CentralizedElectricityGeneration\Processes\Gas Combined Cycle_MYPE</v>
      </c>
      <c r="B20" t="s">
        <v>3</v>
      </c>
      <c r="C20" t="s">
        <v>168</v>
      </c>
      <c r="E20" t="s">
        <v>201</v>
      </c>
      <c r="F20" t="s">
        <v>173</v>
      </c>
      <c r="G20" t="s">
        <v>183</v>
      </c>
      <c r="H20" t="s">
        <v>100</v>
      </c>
      <c r="I20" t="e">
        <v>#VALUE!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24"/>
      <c r="AD20" t="str">
        <v>Gas Combined Cycle_MYSB</v>
      </c>
      <c r="AE20" t="s">
        <v>22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26"/>
      <c r="AV20" s="26"/>
      <c r="AW20" s="26"/>
      <c r="AX20" s="26"/>
      <c r="AY20" s="26"/>
      <c r="AZ20" s="26"/>
      <c r="BA20" t="e">
        <v>#VALUE!</v>
      </c>
    </row>
    <row r="21" spans="1:53" x14ac:dyDescent="0.2">
      <c r="A21" t="str">
        <f t="shared" si="0"/>
        <v>Transformation\CentralizedElectricityGeneration\Processes\Large Hydro_MYPE</v>
      </c>
      <c r="B21" t="s">
        <v>3</v>
      </c>
      <c r="C21" t="s">
        <v>168</v>
      </c>
      <c r="E21" t="s">
        <v>201</v>
      </c>
      <c r="F21" t="s">
        <v>39</v>
      </c>
      <c r="G21" t="s">
        <v>184</v>
      </c>
      <c r="H21" t="s">
        <v>100</v>
      </c>
      <c r="I21" t="e">
        <v>#VALUE!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24"/>
      <c r="AD21" t="str">
        <v>Large Hydro_MYSB</v>
      </c>
      <c r="AE21" t="s">
        <v>22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26"/>
      <c r="AV21" s="26"/>
      <c r="AW21" s="26"/>
      <c r="AX21" s="26"/>
      <c r="AY21" s="26"/>
      <c r="AZ21" s="26"/>
      <c r="BA21" t="e">
        <v>#VALUE!</v>
      </c>
    </row>
    <row r="22" spans="1:53" x14ac:dyDescent="0.2">
      <c r="A22" t="str">
        <f t="shared" si="0"/>
        <v>Transformation\CentralizedElectricityGeneration\Processes\Solar PV_MYPE</v>
      </c>
      <c r="B22" t="s">
        <v>3</v>
      </c>
      <c r="C22" t="s">
        <v>168</v>
      </c>
      <c r="E22" t="s">
        <v>201</v>
      </c>
      <c r="F22" t="s">
        <v>42</v>
      </c>
      <c r="G22" t="s">
        <v>185</v>
      </c>
      <c r="H22" t="s">
        <v>100</v>
      </c>
      <c r="I22" t="e">
        <v>#VALUE!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24"/>
      <c r="AD22" t="str">
        <v>Solar PV_MYSB</v>
      </c>
      <c r="AE22" t="s">
        <v>22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28"/>
      <c r="AV22" s="28"/>
      <c r="AW22" s="28"/>
      <c r="AX22" s="28"/>
      <c r="AY22" s="28"/>
      <c r="AZ22" s="28"/>
      <c r="BA22" t="e">
        <v>#VALUE!</v>
      </c>
    </row>
    <row r="23" spans="1:53" x14ac:dyDescent="0.2">
      <c r="A23" t="str">
        <f t="shared" si="0"/>
        <v>Transformation\CentralizedElectricityGeneration\Processes\Biomass Other_MYPE</v>
      </c>
      <c r="B23" t="s">
        <v>3</v>
      </c>
      <c r="C23" t="s">
        <v>168</v>
      </c>
      <c r="E23" t="s">
        <v>201</v>
      </c>
      <c r="F23" t="s">
        <v>18</v>
      </c>
      <c r="G23" t="s">
        <v>186</v>
      </c>
      <c r="H23" t="s">
        <v>100</v>
      </c>
      <c r="I23" t="e">
        <v>#VALUE!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24"/>
      <c r="AD23" t="str">
        <v>Biomass Other_MYSB</v>
      </c>
      <c r="AE23" t="s">
        <v>22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28"/>
      <c r="AV23" s="28"/>
      <c r="AW23" s="28"/>
      <c r="AX23" s="28"/>
      <c r="AY23" s="28"/>
      <c r="AZ23" s="28"/>
      <c r="BA23" t="e">
        <v>#VALUE!</v>
      </c>
    </row>
    <row r="24" spans="1:53" x14ac:dyDescent="0.2">
      <c r="A24" t="str">
        <f t="shared" si="0"/>
        <v>Transformation\CentralizedElectricityGeneration\Processes\Diesel_MYSB</v>
      </c>
      <c r="B24" t="s">
        <v>3</v>
      </c>
      <c r="C24" t="s">
        <v>174</v>
      </c>
      <c r="E24" t="s">
        <v>201</v>
      </c>
      <c r="F24" t="s">
        <v>24</v>
      </c>
      <c r="G24" t="s">
        <v>187</v>
      </c>
      <c r="H24" t="s">
        <v>100</v>
      </c>
      <c r="I24" t="e">
        <v>#VALUE!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24"/>
      <c r="AD24" t="str">
        <v>Coal Subcritical_MYSR</v>
      </c>
      <c r="AE24" t="s">
        <v>22</v>
      </c>
      <c r="AF24" s="17" t="e" cm="1">
        <f t="array" ref="AF24:AT28">_xlfn._xlws.FILTER($AF$3:$AT$8,ISNUMBER(MATCH($AD$3:$AD$8,_xlfn.ANCHORARRAY(AI42),0)))*AK42:AK46</f>
        <v>#REF!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28"/>
      <c r="AV24" s="28"/>
      <c r="AW24" s="28"/>
      <c r="AX24" s="28"/>
      <c r="AY24" s="28"/>
      <c r="AZ24" s="28"/>
      <c r="BA24" t="e" cm="1">
        <f t="array" ref="BA24:BA28">_xlfn._xlws.FILTER(_xlfn.ANCHORARRAY(BA3),ISNUMBER(MATCH($AD$3:$AD$8,_xlfn.ANCHORARRAY(AI42),0)))*AK42:AK46</f>
        <v>#VALUE!</v>
      </c>
    </row>
    <row r="25" spans="1:53" x14ac:dyDescent="0.2">
      <c r="A25" t="str">
        <f t="shared" si="0"/>
        <v>Transformation\CentralizedElectricityGeneration\Processes\Gas Combined Cycle_MYSB</v>
      </c>
      <c r="B25" t="s">
        <v>3</v>
      </c>
      <c r="C25" t="s">
        <v>174</v>
      </c>
      <c r="E25" t="s">
        <v>201</v>
      </c>
      <c r="F25" t="s">
        <v>172</v>
      </c>
      <c r="G25" t="s">
        <v>188</v>
      </c>
      <c r="H25" t="s">
        <v>100</v>
      </c>
      <c r="I25" t="e">
        <v>#VALUE!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24"/>
      <c r="AD25" t="str">
        <v>Diesel_MYSR</v>
      </c>
      <c r="AE25" t="s">
        <v>22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28"/>
      <c r="AV25" s="28"/>
      <c r="AW25" s="28"/>
      <c r="AX25" s="28"/>
      <c r="AY25" s="28"/>
      <c r="AZ25" s="28"/>
      <c r="BA25" t="e">
        <v>#VALUE!</v>
      </c>
    </row>
    <row r="26" spans="1:53" x14ac:dyDescent="0.2">
      <c r="A26" t="str">
        <f t="shared" si="0"/>
        <v>Transformation\CentralizedElectricityGeneration\Processes\Large Hydro_MYSB</v>
      </c>
      <c r="B26" t="s">
        <v>3</v>
      </c>
      <c r="C26" t="s">
        <v>174</v>
      </c>
      <c r="E26" t="s">
        <v>201</v>
      </c>
      <c r="F26" t="s">
        <v>173</v>
      </c>
      <c r="G26" t="s">
        <v>189</v>
      </c>
      <c r="H26" t="s">
        <v>100</v>
      </c>
      <c r="I26" t="e">
        <v>#VALUE!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24"/>
      <c r="AD26" t="str">
        <v>Gas Combined Cycle_MYSR</v>
      </c>
      <c r="AE26" t="s">
        <v>22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28"/>
      <c r="AV26" s="28"/>
      <c r="AW26" s="28"/>
      <c r="AX26" s="28"/>
      <c r="AY26" s="28"/>
      <c r="AZ26" s="28"/>
      <c r="BA26" t="e">
        <v>#VALUE!</v>
      </c>
    </row>
    <row r="27" spans="1:53" x14ac:dyDescent="0.2">
      <c r="A27" t="str">
        <f t="shared" si="0"/>
        <v>Transformation\CentralizedElectricityGeneration\Processes\Solar PV_MYSB</v>
      </c>
      <c r="B27" t="s">
        <v>3</v>
      </c>
      <c r="C27" t="s">
        <v>174</v>
      </c>
      <c r="E27" t="s">
        <v>201</v>
      </c>
      <c r="F27" t="s">
        <v>39</v>
      </c>
      <c r="G27" t="s">
        <v>190</v>
      </c>
      <c r="H27" t="s">
        <v>100</v>
      </c>
      <c r="I27" t="e">
        <v>#VALUE!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24"/>
      <c r="AD27" t="str">
        <v>Large Hydro_MYSR</v>
      </c>
      <c r="AE27" t="s">
        <v>22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BA27" t="e">
        <v>#VALUE!</v>
      </c>
    </row>
    <row r="28" spans="1:53" x14ac:dyDescent="0.2">
      <c r="A28" t="str">
        <f t="shared" si="0"/>
        <v>Transformation\CentralizedElectricityGeneration\Processes\Biomass Other_MYSB</v>
      </c>
      <c r="B28" t="s">
        <v>3</v>
      </c>
      <c r="C28" t="s">
        <v>174</v>
      </c>
      <c r="E28" t="s">
        <v>201</v>
      </c>
      <c r="F28" t="s">
        <v>42</v>
      </c>
      <c r="G28" t="s">
        <v>191</v>
      </c>
      <c r="H28" t="s">
        <v>100</v>
      </c>
      <c r="I28" t="e">
        <v>#VALUE!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24"/>
      <c r="AD28" t="str">
        <v>Biomass Other_MYSR</v>
      </c>
      <c r="AE28" t="s">
        <v>22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BA28" t="e">
        <v>#VALUE!</v>
      </c>
    </row>
    <row r="29" spans="1:53" x14ac:dyDescent="0.2">
      <c r="A29" t="str">
        <f t="shared" si="0"/>
        <v>Transformation\CentralizedElectricityGeneration\Processes\Coal Subcritical_MYSR</v>
      </c>
      <c r="B29" t="s">
        <v>3</v>
      </c>
      <c r="C29" t="s">
        <v>174</v>
      </c>
      <c r="E29" t="s">
        <v>201</v>
      </c>
      <c r="F29" t="s">
        <v>18</v>
      </c>
      <c r="G29" t="s">
        <v>192</v>
      </c>
      <c r="H29" t="s">
        <v>100</v>
      </c>
      <c r="I29" t="e">
        <v>#VALUE!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24"/>
    </row>
    <row r="30" spans="1:53" x14ac:dyDescent="0.2">
      <c r="A30" t="str">
        <f t="shared" si="0"/>
        <v>Transformation\CentralizedElectricityGeneration\Processes\Diesel_MYSR</v>
      </c>
      <c r="B30" t="s">
        <v>3</v>
      </c>
      <c r="C30" t="s">
        <v>177</v>
      </c>
      <c r="E30" t="s">
        <v>201</v>
      </c>
      <c r="F30" t="s">
        <v>24</v>
      </c>
      <c r="G30" t="s">
        <v>193</v>
      </c>
      <c r="H30" t="s">
        <v>100</v>
      </c>
      <c r="I30" t="e">
        <v>#VALUE!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24"/>
      <c r="AD30" t="s">
        <v>179</v>
      </c>
      <c r="AI30" s="29" t="s">
        <v>180</v>
      </c>
      <c r="AJ30" s="30"/>
      <c r="AK30" s="30" cm="1">
        <f t="array" ref="AK30:AO30">_xlfn.SEQUENCE(,5,2020)</f>
        <v>2020</v>
      </c>
      <c r="AL30" s="30">
        <v>2021</v>
      </c>
      <c r="AM30" s="30">
        <v>2022</v>
      </c>
      <c r="AN30" s="30">
        <v>2023</v>
      </c>
      <c r="AO30" s="31">
        <v>2024</v>
      </c>
    </row>
    <row r="31" spans="1:53" x14ac:dyDescent="0.2">
      <c r="A31" t="str">
        <f t="shared" si="0"/>
        <v>Transformation\CentralizedElectricityGeneration\Processes\Gas Combined Cycle_MYSR</v>
      </c>
      <c r="B31" t="s">
        <v>3</v>
      </c>
      <c r="C31" t="s">
        <v>177</v>
      </c>
      <c r="E31" t="s">
        <v>201</v>
      </c>
      <c r="F31" t="s">
        <v>172</v>
      </c>
      <c r="G31" t="s">
        <v>194</v>
      </c>
      <c r="H31" t="s">
        <v>100</v>
      </c>
      <c r="I31" t="e">
        <v>#VALUE!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24"/>
      <c r="AD31" t="s">
        <v>9</v>
      </c>
      <c r="AE31" t="s">
        <v>182</v>
      </c>
      <c r="AI31" s="32" t="str" cm="1">
        <f t="array" ref="AI31:AI36">F2:F7</f>
        <v>Coal Subcritical</v>
      </c>
      <c r="AJ31" t="s">
        <v>168</v>
      </c>
      <c r="AK31" s="34" cm="1">
        <f t="array" ref="AK31:AO31">IFERROR(_xlfn._xlws.FILTER(Input_MYS_Adj!$X$2:$AB$33,((Input_MYS_Adj!$B$2:$B$33="Existing Capacity")*(Input_MYS_Adj!$F$2:$F$33=AI31)*(Input_MYS_Adj!$C$2:$C$33=AJ31)))/_xlfn.BYCOL(_xlfn._xlws.FILTER(Input_MYS_Adj!$X$2:$AB$33,(Input_MYS_Adj!$B$2:$B$33="Existing Capacity")*(Input_MYS_Adj!$F$2:$F$33=AI31)),_xleta.SUM),0)</f>
        <v>0.89732238353437932</v>
      </c>
      <c r="AL31" s="34">
        <v>0.89549017380438489</v>
      </c>
      <c r="AM31" s="34">
        <v>0.90110993310377829</v>
      </c>
      <c r="AN31" s="34">
        <v>0.90201546928454557</v>
      </c>
      <c r="AO31" s="35">
        <v>0.90201546928454557</v>
      </c>
    </row>
    <row r="32" spans="1:53" x14ac:dyDescent="0.2">
      <c r="A32" t="str">
        <f t="shared" si="0"/>
        <v>Transformation\CentralizedElectricityGeneration\Processes\Large Hydro_MYSR</v>
      </c>
      <c r="B32" t="s">
        <v>3</v>
      </c>
      <c r="C32" t="s">
        <v>177</v>
      </c>
      <c r="E32" t="s">
        <v>201</v>
      </c>
      <c r="F32" t="s">
        <v>173</v>
      </c>
      <c r="G32" t="s">
        <v>195</v>
      </c>
      <c r="H32" t="s">
        <v>100</v>
      </c>
      <c r="I32" t="e">
        <v>#VALUE!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24"/>
      <c r="AD32">
        <v>2021</v>
      </c>
      <c r="AE32">
        <v>28.79</v>
      </c>
      <c r="AF32" cm="1">
        <f t="array" ref="AF32:AF50">AE32:AE50*0.2529</f>
        <v>7.2809910000000002</v>
      </c>
      <c r="AI32" s="32" t="str">
        <v>Diesel</v>
      </c>
      <c r="AJ32" t="s">
        <v>168</v>
      </c>
      <c r="AK32" s="34" cm="1">
        <f t="array" ref="AK32:AO32">IFERROR(_xlfn._xlws.FILTER(Input_MYS_Adj!$X$2:$AB$33,((Input_MYS_Adj!$B$2:$B$33="Existing Capacity")*(Input_MYS_Adj!$F$2:$F$33=AI32)*(Input_MYS_Adj!$C$2:$C$33=AJ32)))/_xlfn.BYCOL(_xlfn._xlws.FILTER(Input_MYS_Adj!$X$2:$AB$33,(Input_MYS_Adj!$B$2:$B$33="Existing Capacity")*(Input_MYS_Adj!$F$2:$F$33=AI32)),_xleta.SUM),0)</f>
        <v>0.1116477800483002</v>
      </c>
      <c r="AL32" s="34">
        <v>-0.11831626848691701</v>
      </c>
      <c r="AM32" s="34">
        <v>5.9117681606900029E-2</v>
      </c>
      <c r="AN32" s="34">
        <v>0.34532490682223305</v>
      </c>
      <c r="AO32" s="35">
        <v>0.37721597040234311</v>
      </c>
    </row>
    <row r="33" spans="1:41" x14ac:dyDescent="0.2">
      <c r="A33" t="str">
        <f t="shared" si="0"/>
        <v>Transformation\CentralizedElectricityGeneration\Processes\Biomass Other_MYSR</v>
      </c>
      <c r="B33" t="s">
        <v>3</v>
      </c>
      <c r="C33" t="s">
        <v>177</v>
      </c>
      <c r="E33" t="s">
        <v>201</v>
      </c>
      <c r="F33" t="s">
        <v>39</v>
      </c>
      <c r="G33" t="s">
        <v>196</v>
      </c>
      <c r="H33" t="s">
        <v>100</v>
      </c>
      <c r="I33" t="e">
        <v>#VALUE!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24"/>
      <c r="AD33">
        <v>2022</v>
      </c>
      <c r="AE33">
        <v>30.1</v>
      </c>
      <c r="AF33">
        <v>7.6122900000000007</v>
      </c>
      <c r="AI33" s="32" t="str">
        <v>Gas Combined Cycle</v>
      </c>
      <c r="AJ33" t="s">
        <v>168</v>
      </c>
      <c r="AK33" s="34" cm="1">
        <f t="array" ref="AK33:AO33">IFERROR(_xlfn._xlws.FILTER(Input_MYS_Adj!$X$2:$AB$33,((Input_MYS_Adj!$B$2:$B$33="Existing Capacity")*(Input_MYS_Adj!$F$2:$F$33=AI33)*(Input_MYS_Adj!$C$2:$C$33=AJ33)))/_xlfn.BYCOL(_xlfn._xlws.FILTER(Input_MYS_Adj!$X$2:$AB$33,(Input_MYS_Adj!$B$2:$B$33="Existing Capacity")*(Input_MYS_Adj!$F$2:$F$33=AI33)),_xleta.SUM),0)</f>
        <v>0.83045047432709473</v>
      </c>
      <c r="AL33" s="34">
        <v>0.80616264960977879</v>
      </c>
      <c r="AM33" s="34">
        <v>0.78473196461339467</v>
      </c>
      <c r="AN33" s="34">
        <v>0.79997784071629885</v>
      </c>
      <c r="AO33" s="35">
        <v>0.80767053966774316</v>
      </c>
    </row>
    <row r="34" spans="1:41" x14ac:dyDescent="0.2">
      <c r="AD34">
        <v>2023</v>
      </c>
      <c r="AE34">
        <v>29.6</v>
      </c>
      <c r="AF34">
        <v>7.4858400000000005</v>
      </c>
      <c r="AI34" s="32" t="str">
        <v>Large Hydro</v>
      </c>
      <c r="AJ34" t="s">
        <v>168</v>
      </c>
      <c r="AK34" s="34" cm="1">
        <f t="array" ref="AK34:AO34">IFERROR(_xlfn._xlws.FILTER(Input_MYS_Adj!$X$2:$AB$33,((Input_MYS_Adj!$B$2:$B$33="Existing Capacity")*(Input_MYS_Adj!$F$2:$F$33=AI34)*(Input_MYS_Adj!$C$2:$C$33=AJ34)))/_xlfn.BYCOL(_xlfn._xlws.FILTER(Input_MYS_Adj!$X$2:$AB$33,(Input_MYS_Adj!$B$2:$B$33="Existing Capacity")*(Input_MYS_Adj!$F$2:$F$33=AI34)),_xleta.SUM),0)</f>
        <v>0.42676620774352003</v>
      </c>
      <c r="AL34" s="34">
        <v>0.41282397053019343</v>
      </c>
      <c r="AM34" s="34">
        <v>0.42666645193500075</v>
      </c>
      <c r="AN34" s="34">
        <v>0.40840579710144925</v>
      </c>
      <c r="AO34" s="35">
        <v>0.4103049759229534</v>
      </c>
    </row>
    <row r="35" spans="1:41" x14ac:dyDescent="0.2">
      <c r="AD35">
        <v>2024</v>
      </c>
      <c r="AE35">
        <v>30</v>
      </c>
      <c r="AF35">
        <v>7.5870000000000006</v>
      </c>
      <c r="AI35" s="32" t="str">
        <v>Solar PV</v>
      </c>
      <c r="AJ35" t="s">
        <v>168</v>
      </c>
      <c r="AK35" s="34" cm="1">
        <f t="array" ref="AK35:AO35">IFERROR(_xlfn._xlws.FILTER(Input_MYS_Adj!$X$2:$AB$33,((Input_MYS_Adj!$B$2:$B$33="Existing Capacity")*(Input_MYS_Adj!$F$2:$F$33=AI35)*(Input_MYS_Adj!$C$2:$C$33=AJ35)))/_xlfn.BYCOL(_xlfn._xlws.FILTER(Input_MYS_Adj!$X$2:$AB$33,(Input_MYS_Adj!$B$2:$B$33="Existing Capacity")*(Input_MYS_Adj!$F$2:$F$33=AI35)),_xleta.SUM),0)</f>
        <v>0.91438202247191014</v>
      </c>
      <c r="AL35" s="34">
        <v>0.93761598078812358</v>
      </c>
      <c r="AM35" s="34">
        <v>0.96459081342082453</v>
      </c>
      <c r="AN35" s="34">
        <v>0.9555440414507772</v>
      </c>
      <c r="AO35" s="35">
        <v>0.96285714285714274</v>
      </c>
    </row>
    <row r="36" spans="1:41" x14ac:dyDescent="0.2">
      <c r="AD36">
        <v>2025</v>
      </c>
      <c r="AE36">
        <v>30.6</v>
      </c>
      <c r="AF36">
        <v>7.7387400000000008</v>
      </c>
      <c r="AI36" s="33" t="str">
        <v>Biomass Other</v>
      </c>
      <c r="AJ36" s="36" t="s">
        <v>168</v>
      </c>
      <c r="AK36" s="37" cm="1">
        <f t="array" ref="AK36:AO36">IFERROR(_xlfn._xlws.FILTER(Input_MYS_Adj!$X$2:$AB$33,((Input_MYS_Adj!$B$2:$B$33="Existing Capacity")*(Input_MYS_Adj!$F$2:$F$33=AI36)*(Input_MYS_Adj!$C$2:$C$33=AJ36)))/_xlfn.BYCOL(_xlfn._xlws.FILTER(Input_MYS_Adj!$X$2:$AB$33,(Input_MYS_Adj!$B$2:$B$33="Existing Capacity")*(Input_MYS_Adj!$F$2:$F$33=AI36)),_xleta.SUM),0)</f>
        <v>0.64031277150304089</v>
      </c>
      <c r="AL36" s="37">
        <v>0.58308937489237123</v>
      </c>
      <c r="AM36" s="37">
        <v>0.33410893059425034</v>
      </c>
      <c r="AN36" s="37">
        <v>0.7761904761904761</v>
      </c>
      <c r="AO36" s="38">
        <v>0.77864992150706436</v>
      </c>
    </row>
    <row r="37" spans="1:41" x14ac:dyDescent="0.2">
      <c r="AD37">
        <v>2026</v>
      </c>
      <c r="AE37">
        <v>34.700000000000003</v>
      </c>
      <c r="AF37">
        <v>8.7756300000000014</v>
      </c>
      <c r="AI37" s="29" t="str" cm="1">
        <f t="array" ref="AI37:AI41">F8:F12</f>
        <v>Diesel</v>
      </c>
      <c r="AJ37" s="30" t="s">
        <v>174</v>
      </c>
      <c r="AK37" s="39" cm="1">
        <f t="array" ref="AK37:AO37">IFERROR(_xlfn._xlws.FILTER(Input_MYS_Adj!$X$2:$AB$33,((Input_MYS_Adj!$B$2:$B$33="Existing Capacity")*(Input_MYS_Adj!$F$2:$F$33=AI37)*(Input_MYS_Adj!$C$2:$C$33=AJ37)))/_xlfn.BYCOL(_xlfn._xlws.FILTER(Input_MYS_Adj!$X$2:$AB$33,(Input_MYS_Adj!$B$2:$B$33="Existing Capacity")*(Input_MYS_Adj!$F$2:$F$33=AI37)),_xleta.SUM),0)</f>
        <v>0.67062976035667832</v>
      </c>
      <c r="AL37" s="39">
        <v>0.79237770193401591</v>
      </c>
      <c r="AM37" s="39">
        <v>0.73767053177386621</v>
      </c>
      <c r="AN37" s="39">
        <v>0.55096418732782371</v>
      </c>
      <c r="AO37" s="40">
        <v>0.52412517342377063</v>
      </c>
    </row>
    <row r="38" spans="1:41" x14ac:dyDescent="0.2">
      <c r="AD38">
        <v>2027</v>
      </c>
      <c r="AE38">
        <v>36.200000000000003</v>
      </c>
      <c r="AF38">
        <v>9.1549800000000019</v>
      </c>
      <c r="AI38" s="32" t="str">
        <v>Gas Combined Cycle</v>
      </c>
      <c r="AJ38" t="s">
        <v>174</v>
      </c>
      <c r="AK38" s="34" cm="1">
        <f t="array" ref="AK38:AO38">IFERROR(_xlfn._xlws.FILTER(Input_MYS_Adj!$X$2:$AB$33,((Input_MYS_Adj!$B$2:$B$33="Existing Capacity")*(Input_MYS_Adj!$F$2:$F$33=AI38)*(Input_MYS_Adj!$C$2:$C$33=AJ38)))/_xlfn.BYCOL(_xlfn._xlws.FILTER(Input_MYS_Adj!$X$2:$AB$33,(Input_MYS_Adj!$B$2:$B$33="Existing Capacity")*(Input_MYS_Adj!$F$2:$F$33=AI38)),_xleta.SUM),0)</f>
        <v>9.3080358882817418E-2</v>
      </c>
      <c r="AL38" s="34">
        <v>8.9428823943556487E-2</v>
      </c>
      <c r="AM38" s="34">
        <v>8.5160901891760316E-2</v>
      </c>
      <c r="AN38" s="34">
        <v>8.1885478051921978E-2</v>
      </c>
      <c r="AO38" s="35">
        <v>7.873622532210274E-2</v>
      </c>
    </row>
    <row r="39" spans="1:41" x14ac:dyDescent="0.2">
      <c r="AD39">
        <v>2028</v>
      </c>
      <c r="AE39">
        <v>37.200000000000003</v>
      </c>
      <c r="AF39">
        <v>9.4078800000000005</v>
      </c>
      <c r="AI39" s="32" t="str">
        <v>Large Hydro</v>
      </c>
      <c r="AJ39" t="s">
        <v>174</v>
      </c>
      <c r="AK39" s="34" cm="1">
        <f t="array" ref="AK39:AO39">IFERROR(_xlfn._xlws.FILTER(Input_MYS_Adj!$X$2:$AB$33,((Input_MYS_Adj!$B$2:$B$33="Existing Capacity")*(Input_MYS_Adj!$F$2:$F$33=AI39)*(Input_MYS_Adj!$C$2:$C$33=AJ39)))/_xlfn.BYCOL(_xlfn._xlws.FILTER(Input_MYS_Adj!$X$2:$AB$33,(Input_MYS_Adj!$B$2:$B$33="Existing Capacity")*(Input_MYS_Adj!$F$2:$F$33=AI39)),_xleta.SUM),0)</f>
        <v>1.4155516773317821E-2</v>
      </c>
      <c r="AL39" s="34">
        <v>1.6379423760031573E-2</v>
      </c>
      <c r="AM39" s="34">
        <v>1.6394762694667674E-2</v>
      </c>
      <c r="AN39" s="34">
        <v>1.6392914653784219E-2</v>
      </c>
      <c r="AO39" s="35">
        <v>1.6340288924558587E-2</v>
      </c>
    </row>
    <row r="40" spans="1:41" x14ac:dyDescent="0.2">
      <c r="AD40">
        <v>2029</v>
      </c>
      <c r="AE40">
        <v>39.200000000000003</v>
      </c>
      <c r="AF40">
        <v>9.9136800000000012</v>
      </c>
      <c r="AI40" s="32" t="str">
        <v>Solar PV</v>
      </c>
      <c r="AJ40" t="s">
        <v>174</v>
      </c>
      <c r="AK40" s="34" cm="1">
        <f t="array" ref="AK40:AO40">IFERROR(_xlfn._xlws.FILTER(Input_MYS_Adj!$X$2:$AB$33,((Input_MYS_Adj!$B$2:$B$33="Existing Capacity")*(Input_MYS_Adj!$F$2:$F$33=AI40)*(Input_MYS_Adj!$C$2:$C$33=AJ40)))/_xlfn.BYCOL(_xlfn._xlws.FILTER(Input_MYS_Adj!$X$2:$AB$33,(Input_MYS_Adj!$B$2:$B$33="Existing Capacity")*(Input_MYS_Adj!$F$2:$F$33=AI40)),_xleta.SUM),0)</f>
        <v>8.5617977528089875E-2</v>
      </c>
      <c r="AL40" s="34">
        <v>6.2384019211876432E-2</v>
      </c>
      <c r="AM40" s="34">
        <v>3.5409186579175439E-2</v>
      </c>
      <c r="AN40" s="34">
        <v>4.4455958549222803E-2</v>
      </c>
      <c r="AO40" s="35">
        <v>3.7142857142857144E-2</v>
      </c>
    </row>
    <row r="41" spans="1:41" x14ac:dyDescent="0.2">
      <c r="AD41">
        <v>2030</v>
      </c>
      <c r="AE41">
        <v>41.96</v>
      </c>
      <c r="AF41">
        <v>10.611684</v>
      </c>
      <c r="AI41" s="32" t="str">
        <v>Biomass Other</v>
      </c>
      <c r="AJ41" t="s">
        <v>174</v>
      </c>
      <c r="AK41" s="34" cm="1">
        <f t="array" ref="AK41:AO41">IFERROR(_xlfn._xlws.FILTER(Input_MYS_Adj!$X$2:$AB$33,((Input_MYS_Adj!$B$2:$B$33="Existing Capacity")*(Input_MYS_Adj!$F$2:$F$33=AI41)*(Input_MYS_Adj!$C$2:$C$33=AJ41)))/_xlfn.BYCOL(_xlfn._xlws.FILTER(Input_MYS_Adj!$X$2:$AB$33,(Input_MYS_Adj!$B$2:$B$33="Existing Capacity")*(Input_MYS_Adj!$F$2:$F$33=AI41)),_xleta.SUM),0)</f>
        <v>0.27599189110918043</v>
      </c>
      <c r="AL41" s="34">
        <v>0.30807645944549678</v>
      </c>
      <c r="AM41" s="34">
        <v>0.56118543918194908</v>
      </c>
      <c r="AN41" s="34">
        <v>0.22380952380952382</v>
      </c>
      <c r="AO41" s="35">
        <v>0.22135007849293567</v>
      </c>
    </row>
    <row r="42" spans="1:41" x14ac:dyDescent="0.2">
      <c r="AD42">
        <v>2031</v>
      </c>
      <c r="AE42">
        <v>43.3</v>
      </c>
      <c r="AF42">
        <v>10.950569999999999</v>
      </c>
      <c r="AI42" s="29" t="str" cm="1">
        <f t="array" ref="AI42:AI46">F13:F17</f>
        <v>Coal Subcritical</v>
      </c>
      <c r="AJ42" s="30" t="s">
        <v>177</v>
      </c>
      <c r="AK42" s="39" cm="1">
        <f t="array" ref="AK42:AO42">IFERROR(_xlfn._xlws.FILTER(Input_MYS_Adj!$X$2:$AB$33,((Input_MYS_Adj!$B$2:$B$33="Existing Capacity")*(Input_MYS_Adj!$F$2:$F$33=AI42)*(Input_MYS_Adj!$C$2:$C$33=AJ42)))/_xlfn.BYCOL(_xlfn._xlws.FILTER(Input_MYS_Adj!$X$2:$AB$33,(Input_MYS_Adj!$B$2:$B$33="Existing Capacity")*(Input_MYS_Adj!$F$2:$F$33=AI42)),_xleta.SUM),0)</f>
        <v>0.10267761646562067</v>
      </c>
      <c r="AL42" s="39">
        <v>0.10450982619561512</v>
      </c>
      <c r="AM42" s="39">
        <v>9.8890066896221734E-2</v>
      </c>
      <c r="AN42" s="39">
        <v>9.7984530715454418E-2</v>
      </c>
      <c r="AO42" s="40">
        <v>9.7984530715454418E-2</v>
      </c>
    </row>
    <row r="43" spans="1:41" x14ac:dyDescent="0.2">
      <c r="AD43">
        <v>2032</v>
      </c>
      <c r="AE43">
        <v>44.6</v>
      </c>
      <c r="AF43">
        <v>11.279340000000001</v>
      </c>
      <c r="AI43" s="32" t="str">
        <v>Diesel</v>
      </c>
      <c r="AJ43" t="s">
        <v>177</v>
      </c>
      <c r="AK43" s="34" cm="1">
        <f t="array" ref="AK43:AO43">IFERROR(_xlfn._xlws.FILTER(Input_MYS_Adj!$X$2:$AB$33,((Input_MYS_Adj!$B$2:$B$33="Existing Capacity")*(Input_MYS_Adj!$F$2:$F$33=AI43)*(Input_MYS_Adj!$C$2:$C$33=AJ43)))/_xlfn.BYCOL(_xlfn._xlws.FILTER(Input_MYS_Adj!$X$2:$AB$33,(Input_MYS_Adj!$B$2:$B$33="Existing Capacity")*(Input_MYS_Adj!$F$2:$F$33=AI43)),_xleta.SUM),0)</f>
        <v>0.21772245959502134</v>
      </c>
      <c r="AL43" s="34">
        <v>0.32593856655290099</v>
      </c>
      <c r="AM43" s="34">
        <v>0.20321178661923381</v>
      </c>
      <c r="AN43" s="34">
        <v>0.10371090584994327</v>
      </c>
      <c r="AO43" s="35">
        <v>9.8658856173886228E-2</v>
      </c>
    </row>
    <row r="44" spans="1:41" x14ac:dyDescent="0.2">
      <c r="AD44">
        <v>2033</v>
      </c>
      <c r="AE44">
        <v>45.6</v>
      </c>
      <c r="AF44">
        <v>11.532240000000002</v>
      </c>
      <c r="AI44" s="32" t="str">
        <v>Gas Combined Cycle</v>
      </c>
      <c r="AJ44" t="s">
        <v>177</v>
      </c>
      <c r="AK44" s="34" cm="1">
        <f t="array" ref="AK44:AO44">IFERROR(_xlfn._xlws.FILTER(Input_MYS_Adj!$X$2:$AB$33,((Input_MYS_Adj!$B$2:$B$33="Existing Capacity")*(Input_MYS_Adj!$F$2:$F$33=AI44)*(Input_MYS_Adj!$C$2:$C$33=AJ44)))/_xlfn.BYCOL(_xlfn._xlws.FILTER(Input_MYS_Adj!$X$2:$AB$33,(Input_MYS_Adj!$B$2:$B$33="Existing Capacity")*(Input_MYS_Adj!$F$2:$F$33=AI44)),_xleta.SUM),0)</f>
        <v>7.6469166790087847E-2</v>
      </c>
      <c r="AL44" s="34">
        <v>0.10440852644666478</v>
      </c>
      <c r="AM44" s="34">
        <v>0.13010713349484498</v>
      </c>
      <c r="AN44" s="34">
        <v>0.11813668123177919</v>
      </c>
      <c r="AO44" s="35">
        <v>0.11359323501015414</v>
      </c>
    </row>
    <row r="45" spans="1:41" x14ac:dyDescent="0.2">
      <c r="AD45">
        <v>2034</v>
      </c>
      <c r="AE45">
        <v>47.9</v>
      </c>
      <c r="AF45">
        <v>12.113910000000001</v>
      </c>
      <c r="AI45" s="32" t="str">
        <v>Large Hydro</v>
      </c>
      <c r="AJ45" t="s">
        <v>177</v>
      </c>
      <c r="AK45" s="34" cm="1">
        <f t="array" ref="AK45:AO45">IFERROR(_xlfn._xlws.FILTER(Input_MYS_Adj!$X$2:$AB$33,((Input_MYS_Adj!$B$2:$B$33="Existing Capacity")*(Input_MYS_Adj!$F$2:$F$33=AI45)*(Input_MYS_Adj!$C$2:$C$33=AJ45)))/_xlfn.BYCOL(_xlfn._xlws.FILTER(Input_MYS_Adj!$X$2:$AB$33,(Input_MYS_Adj!$B$2:$B$33="Existing Capacity")*(Input_MYS_Adj!$F$2:$F$33=AI45)),_xleta.SUM),0)</f>
        <v>0.55907827548316213</v>
      </c>
      <c r="AL45" s="34">
        <v>0.57079660570977497</v>
      </c>
      <c r="AM45" s="34">
        <v>0.55693878537033159</v>
      </c>
      <c r="AN45" s="34">
        <v>0.57520128824476646</v>
      </c>
      <c r="AO45" s="35">
        <v>0.57335473515248792</v>
      </c>
    </row>
    <row r="46" spans="1:41" x14ac:dyDescent="0.2">
      <c r="AD46">
        <v>2035</v>
      </c>
      <c r="AE46">
        <v>48.5</v>
      </c>
      <c r="AF46">
        <v>12.265650000000001</v>
      </c>
      <c r="AI46" s="32" t="str">
        <v>Biomass Other</v>
      </c>
      <c r="AJ46" t="s">
        <v>177</v>
      </c>
      <c r="AK46" s="34" cm="1">
        <f t="array" ref="AK46:AO46">IFERROR(_xlfn._xlws.FILTER(Input_MYS_Adj!$X$2:$AB$33,((Input_MYS_Adj!$B$2:$B$33="Existing Capacity")*(Input_MYS_Adj!$F$2:$F$33=AI46)*(Input_MYS_Adj!$C$2:$C$33=AJ46)))/_xlfn.BYCOL(_xlfn._xlws.FILTER(Input_MYS_Adj!$X$2:$AB$33,(Input_MYS_Adj!$B$2:$B$33="Existing Capacity")*(Input_MYS_Adj!$F$2:$F$33=AI46)),_xleta.SUM),0)</f>
        <v>8.3695337387778748E-2</v>
      </c>
      <c r="AL46" s="34">
        <v>0.1088341656621319</v>
      </c>
      <c r="AM46" s="34">
        <v>0.10470563022380064</v>
      </c>
      <c r="AN46" s="34">
        <v>0</v>
      </c>
      <c r="AO46" s="35">
        <v>0</v>
      </c>
    </row>
    <row r="47" spans="1:41" x14ac:dyDescent="0.2">
      <c r="AD47">
        <v>2036</v>
      </c>
      <c r="AE47">
        <v>50.2</v>
      </c>
      <c r="AF47">
        <v>12.695580000000001</v>
      </c>
    </row>
    <row r="48" spans="1:41" x14ac:dyDescent="0.2">
      <c r="AD48">
        <v>2037</v>
      </c>
      <c r="AE48">
        <v>51.9</v>
      </c>
      <c r="AF48">
        <v>13.12551</v>
      </c>
    </row>
    <row r="49" spans="30:45" x14ac:dyDescent="0.2">
      <c r="AD49">
        <v>2038</v>
      </c>
      <c r="AE49">
        <v>51.8</v>
      </c>
      <c r="AF49">
        <v>13.10022</v>
      </c>
    </row>
    <row r="50" spans="30:45" x14ac:dyDescent="0.2">
      <c r="AD50">
        <v>2039</v>
      </c>
      <c r="AE50">
        <v>52.53</v>
      </c>
      <c r="AF50">
        <v>13.284837000000001</v>
      </c>
    </row>
    <row r="52" spans="30:45" ht="15" x14ac:dyDescent="0.25">
      <c r="AE52" s="25"/>
    </row>
    <row r="54" spans="30:45" x14ac:dyDescent="0.2">
      <c r="AD54" t="s">
        <v>197</v>
      </c>
      <c r="AE54" s="41" t="s">
        <v>198</v>
      </c>
      <c r="AF54" s="41"/>
      <c r="AG54" s="41"/>
      <c r="AH54" s="41"/>
      <c r="AI54" s="41"/>
      <c r="AJ54" s="41" t="s">
        <v>199</v>
      </c>
      <c r="AK54" s="41"/>
      <c r="AL54" s="41"/>
      <c r="AM54" s="41"/>
      <c r="AN54" s="41"/>
      <c r="AO54" s="41" t="s">
        <v>200</v>
      </c>
      <c r="AP54" s="41"/>
      <c r="AQ54" s="41"/>
      <c r="AR54" s="41"/>
      <c r="AS54" s="41"/>
    </row>
    <row r="55" spans="30:45" x14ac:dyDescent="0.2">
      <c r="AD55" t="s">
        <v>45</v>
      </c>
      <c r="AE55">
        <v>2020</v>
      </c>
      <c r="AF55">
        <v>2021</v>
      </c>
      <c r="AG55">
        <v>2022</v>
      </c>
      <c r="AH55">
        <v>2023</v>
      </c>
      <c r="AI55">
        <v>2024</v>
      </c>
      <c r="AJ55" cm="1">
        <f t="array" ref="AJ55:AN55">AE55:AI55</f>
        <v>2020</v>
      </c>
      <c r="AK55">
        <v>2021</v>
      </c>
      <c r="AL55">
        <v>2022</v>
      </c>
      <c r="AM55">
        <v>2023</v>
      </c>
      <c r="AN55">
        <v>2024</v>
      </c>
      <c r="AO55" cm="1">
        <f t="array" ref="AO55:AS55">_xlfn.ANCHORARRAY(AJ55)</f>
        <v>2020</v>
      </c>
      <c r="AP55">
        <v>2021</v>
      </c>
      <c r="AQ55">
        <v>2022</v>
      </c>
      <c r="AR55">
        <v>2023</v>
      </c>
      <c r="AS55">
        <v>2024</v>
      </c>
    </row>
    <row r="56" spans="30:45" x14ac:dyDescent="0.2">
      <c r="AD56" t="s">
        <v>178</v>
      </c>
      <c r="AE56">
        <v>12180</v>
      </c>
      <c r="AF56">
        <v>12180</v>
      </c>
      <c r="AG56">
        <v>12180</v>
      </c>
      <c r="AH56">
        <v>12180</v>
      </c>
      <c r="AI56">
        <v>12067</v>
      </c>
      <c r="AJ56" cm="1">
        <f t="array" ref="AJ56:AN71">AE56:AI71+AO56:AS71</f>
        <v>9648.1</v>
      </c>
      <c r="AK56">
        <v>9459.6</v>
      </c>
      <c r="AL56">
        <v>9604.2999999999993</v>
      </c>
      <c r="AM56">
        <v>9702.7999999999993</v>
      </c>
      <c r="AN56">
        <v>9702.7999999999993</v>
      </c>
      <c r="AO56">
        <v>-2531.9</v>
      </c>
      <c r="AP56">
        <v>-2720.4</v>
      </c>
      <c r="AQ56">
        <v>-2575.6999999999998</v>
      </c>
      <c r="AR56">
        <v>-2477.1999999999998</v>
      </c>
      <c r="AS56">
        <v>-2364.1999999999998</v>
      </c>
    </row>
    <row r="57" spans="30:45" x14ac:dyDescent="0.2">
      <c r="AD57" t="s">
        <v>181</v>
      </c>
      <c r="AE57">
        <v>55</v>
      </c>
      <c r="AF57">
        <v>54.499999999999972</v>
      </c>
      <c r="AG57">
        <v>35.229999999999933</v>
      </c>
      <c r="AH57">
        <v>89.7</v>
      </c>
      <c r="AI57">
        <v>89.5</v>
      </c>
      <c r="AJ57">
        <v>60.1</v>
      </c>
      <c r="AK57">
        <v>-41.600000000000023</v>
      </c>
      <c r="AL57">
        <v>35.229999999999933</v>
      </c>
      <c r="AM57">
        <v>213.10000000000002</v>
      </c>
      <c r="AN57">
        <v>244.7</v>
      </c>
      <c r="AO57">
        <v>5.0999999999999996</v>
      </c>
      <c r="AP57">
        <v>-96.1</v>
      </c>
      <c r="AR57">
        <v>123.4</v>
      </c>
      <c r="AS57">
        <v>155.19999999999999</v>
      </c>
    </row>
    <row r="58" spans="30:45" x14ac:dyDescent="0.2">
      <c r="AD58" t="s">
        <v>183</v>
      </c>
      <c r="AE58">
        <v>10883</v>
      </c>
      <c r="AF58">
        <v>12406.5</v>
      </c>
      <c r="AG58">
        <v>13608.88</v>
      </c>
      <c r="AH58">
        <v>12451.9</v>
      </c>
      <c r="AI58">
        <v>12391.1</v>
      </c>
      <c r="AJ58">
        <v>10653.6</v>
      </c>
      <c r="AK58">
        <v>10763.4</v>
      </c>
      <c r="AL58">
        <v>10896.38</v>
      </c>
      <c r="AM58">
        <v>11552.4</v>
      </c>
      <c r="AN58">
        <v>12130</v>
      </c>
      <c r="AO58">
        <v>-229.4</v>
      </c>
      <c r="AP58">
        <v>-1643.1</v>
      </c>
      <c r="AQ58">
        <v>-2712.5</v>
      </c>
      <c r="AR58">
        <v>-899.5</v>
      </c>
      <c r="AS58">
        <v>-261.10000000000002</v>
      </c>
    </row>
    <row r="59" spans="30:45" x14ac:dyDescent="0.2">
      <c r="AD59" t="s">
        <v>184</v>
      </c>
      <c r="AE59">
        <v>2640.9999999999991</v>
      </c>
      <c r="AF59">
        <v>2646.2000000000003</v>
      </c>
      <c r="AG59">
        <v>2649.3</v>
      </c>
      <c r="AH59">
        <v>2690.7</v>
      </c>
      <c r="AI59">
        <v>2668.5</v>
      </c>
      <c r="AJ59">
        <v>2640.9999999999991</v>
      </c>
      <c r="AK59">
        <v>2510.3000000000002</v>
      </c>
      <c r="AL59">
        <v>2649.3</v>
      </c>
      <c r="AM59">
        <v>2536.1999999999998</v>
      </c>
      <c r="AN59">
        <v>2556.1999999999998</v>
      </c>
      <c r="AP59">
        <v>-135.9</v>
      </c>
      <c r="AR59">
        <v>-154.5</v>
      </c>
      <c r="AS59">
        <v>-112.3</v>
      </c>
    </row>
    <row r="60" spans="30:45" x14ac:dyDescent="0.2">
      <c r="AD60" t="s">
        <v>185</v>
      </c>
      <c r="AE60">
        <v>1304.5000000000002</v>
      </c>
      <c r="AF60">
        <v>1585.1000000000001</v>
      </c>
      <c r="AG60">
        <v>2337.1999999999998</v>
      </c>
      <c r="AH60">
        <v>2961.2999999999997</v>
      </c>
      <c r="AI60">
        <v>4086.4</v>
      </c>
      <c r="AJ60">
        <v>1220.7000000000003</v>
      </c>
      <c r="AK60">
        <v>1717.9</v>
      </c>
      <c r="AL60">
        <v>2337.2999999999997</v>
      </c>
      <c r="AM60">
        <v>1844.1999999999998</v>
      </c>
      <c r="AN60">
        <v>2224.1999999999998</v>
      </c>
      <c r="AO60">
        <v>-83.8</v>
      </c>
      <c r="AP60">
        <v>132.80000000000001</v>
      </c>
      <c r="AQ60">
        <v>0.1</v>
      </c>
      <c r="AR60">
        <v>-1117.0999999999999</v>
      </c>
      <c r="AS60">
        <v>-1862.2</v>
      </c>
    </row>
    <row r="61" spans="30:45" x14ac:dyDescent="0.2">
      <c r="AD61" t="s">
        <v>186</v>
      </c>
      <c r="AE61">
        <v>305.8</v>
      </c>
      <c r="AF61">
        <v>537.70000000000005</v>
      </c>
      <c r="AG61">
        <v>520.73</v>
      </c>
      <c r="AH61">
        <v>763.09999999999991</v>
      </c>
      <c r="AI61">
        <v>990</v>
      </c>
      <c r="AJ61">
        <v>442.20000000000005</v>
      </c>
      <c r="AK61">
        <v>338.6</v>
      </c>
      <c r="AL61">
        <v>109.13</v>
      </c>
      <c r="AM61">
        <v>635.69999999999993</v>
      </c>
      <c r="AN61">
        <v>644.79999999999995</v>
      </c>
      <c r="AO61">
        <v>136.4</v>
      </c>
      <c r="AP61">
        <v>-199.1</v>
      </c>
      <c r="AQ61">
        <v>-411.6</v>
      </c>
      <c r="AR61">
        <v>-127.4</v>
      </c>
      <c r="AS61">
        <v>-345.2</v>
      </c>
    </row>
    <row r="62" spans="30:45" x14ac:dyDescent="0.2">
      <c r="AD62" t="s">
        <v>187</v>
      </c>
      <c r="AE62">
        <v>361</v>
      </c>
      <c r="AF62">
        <v>278.60000000000002</v>
      </c>
      <c r="AG62">
        <v>439.6</v>
      </c>
      <c r="AH62">
        <v>340</v>
      </c>
      <c r="AI62">
        <v>340</v>
      </c>
      <c r="AJ62">
        <v>361</v>
      </c>
      <c r="AK62">
        <v>278.60000000000002</v>
      </c>
      <c r="AL62">
        <v>439.6</v>
      </c>
      <c r="AM62">
        <v>340</v>
      </c>
      <c r="AN62">
        <v>340</v>
      </c>
    </row>
    <row r="63" spans="30:45" x14ac:dyDescent="0.2">
      <c r="AD63" t="s">
        <v>188</v>
      </c>
      <c r="AE63">
        <v>1194.0999999999999</v>
      </c>
      <c r="AF63">
        <v>1194</v>
      </c>
      <c r="AG63">
        <v>1182.5</v>
      </c>
      <c r="AH63">
        <v>1182.5</v>
      </c>
      <c r="AI63">
        <v>1182.5</v>
      </c>
      <c r="AJ63">
        <v>1194.0999999999999</v>
      </c>
      <c r="AK63">
        <v>1194</v>
      </c>
      <c r="AL63">
        <v>1182.5</v>
      </c>
      <c r="AM63">
        <v>1182.5</v>
      </c>
      <c r="AN63">
        <v>1182.5</v>
      </c>
    </row>
    <row r="64" spans="30:45" x14ac:dyDescent="0.2">
      <c r="AD64" t="s">
        <v>189</v>
      </c>
      <c r="AE64">
        <v>87.6</v>
      </c>
      <c r="AF64">
        <v>99.6</v>
      </c>
      <c r="AG64">
        <v>101.8</v>
      </c>
      <c r="AH64">
        <v>101.8</v>
      </c>
      <c r="AI64">
        <v>101.8</v>
      </c>
      <c r="AJ64">
        <v>87.6</v>
      </c>
      <c r="AK64">
        <v>99.6</v>
      </c>
      <c r="AL64">
        <v>101.8</v>
      </c>
      <c r="AM64">
        <v>101.8</v>
      </c>
      <c r="AN64">
        <v>101.8</v>
      </c>
    </row>
    <row r="65" spans="30:40" x14ac:dyDescent="0.2">
      <c r="AD65" t="s">
        <v>190</v>
      </c>
      <c r="AE65">
        <v>114.3</v>
      </c>
      <c r="AF65">
        <v>114.3</v>
      </c>
      <c r="AG65">
        <v>85.8</v>
      </c>
      <c r="AH65">
        <v>85.8</v>
      </c>
      <c r="AI65">
        <v>85.8</v>
      </c>
      <c r="AJ65">
        <v>114.3</v>
      </c>
      <c r="AK65">
        <v>114.3</v>
      </c>
      <c r="AL65">
        <v>85.8</v>
      </c>
      <c r="AM65">
        <v>85.8</v>
      </c>
      <c r="AN65">
        <v>85.8</v>
      </c>
    </row>
    <row r="66" spans="30:40" x14ac:dyDescent="0.2">
      <c r="AD66" t="s">
        <v>191</v>
      </c>
      <c r="AE66">
        <v>190.6</v>
      </c>
      <c r="AF66">
        <v>178.89999999999998</v>
      </c>
      <c r="AG66">
        <v>183.3</v>
      </c>
      <c r="AH66">
        <v>183.3</v>
      </c>
      <c r="AI66">
        <v>183.3</v>
      </c>
      <c r="AJ66">
        <v>190.6</v>
      </c>
      <c r="AK66">
        <v>178.89999999999998</v>
      </c>
      <c r="AL66">
        <v>183.3</v>
      </c>
      <c r="AM66">
        <v>183.3</v>
      </c>
      <c r="AN66">
        <v>183.3</v>
      </c>
    </row>
    <row r="67" spans="30:40" x14ac:dyDescent="0.2">
      <c r="AD67" t="s">
        <v>192</v>
      </c>
      <c r="AE67">
        <v>1104</v>
      </c>
      <c r="AF67">
        <v>1104</v>
      </c>
      <c r="AG67">
        <v>1054</v>
      </c>
      <c r="AH67">
        <v>1054</v>
      </c>
      <c r="AI67">
        <v>1054</v>
      </c>
      <c r="AJ67">
        <v>1104</v>
      </c>
      <c r="AK67">
        <v>1104</v>
      </c>
      <c r="AL67">
        <v>1054</v>
      </c>
      <c r="AM67">
        <v>1054</v>
      </c>
      <c r="AN67">
        <v>1054</v>
      </c>
    </row>
    <row r="68" spans="30:40" x14ac:dyDescent="0.2">
      <c r="AD68" t="s">
        <v>193</v>
      </c>
      <c r="AE68">
        <v>117.2</v>
      </c>
      <c r="AF68">
        <v>114.6</v>
      </c>
      <c r="AG68">
        <v>121.1</v>
      </c>
      <c r="AH68">
        <v>64</v>
      </c>
      <c r="AI68">
        <v>64</v>
      </c>
      <c r="AJ68">
        <v>117.2</v>
      </c>
      <c r="AK68">
        <v>114.6</v>
      </c>
      <c r="AL68">
        <v>121.1</v>
      </c>
      <c r="AM68">
        <v>64</v>
      </c>
      <c r="AN68">
        <v>64</v>
      </c>
    </row>
    <row r="69" spans="30:40" x14ac:dyDescent="0.2">
      <c r="AD69" t="s">
        <v>194</v>
      </c>
      <c r="AE69">
        <v>981</v>
      </c>
      <c r="AF69">
        <v>1394</v>
      </c>
      <c r="AG69">
        <v>1806.6</v>
      </c>
      <c r="AH69">
        <v>1706</v>
      </c>
      <c r="AI69">
        <v>1706</v>
      </c>
      <c r="AJ69">
        <v>981</v>
      </c>
      <c r="AK69">
        <v>1394</v>
      </c>
      <c r="AL69">
        <v>1806.6</v>
      </c>
      <c r="AM69">
        <v>1706</v>
      </c>
      <c r="AN69">
        <v>1706</v>
      </c>
    </row>
    <row r="70" spans="30:40" x14ac:dyDescent="0.2">
      <c r="AD70" t="s">
        <v>195</v>
      </c>
      <c r="AE70">
        <v>3459.8</v>
      </c>
      <c r="AF70">
        <v>3470.9</v>
      </c>
      <c r="AG70">
        <v>3458.2</v>
      </c>
      <c r="AH70">
        <v>3572</v>
      </c>
      <c r="AI70">
        <v>3572</v>
      </c>
      <c r="AJ70">
        <v>3459.8</v>
      </c>
      <c r="AK70">
        <v>3470.9</v>
      </c>
      <c r="AL70">
        <v>3458.2</v>
      </c>
      <c r="AM70">
        <v>3572</v>
      </c>
      <c r="AN70">
        <v>3572</v>
      </c>
    </row>
    <row r="71" spans="30:40" x14ac:dyDescent="0.2">
      <c r="AD71" t="s">
        <v>196</v>
      </c>
      <c r="AE71">
        <v>57.800000000000004</v>
      </c>
      <c r="AF71">
        <v>63.2</v>
      </c>
      <c r="AG71">
        <v>34.200000000000003</v>
      </c>
      <c r="AH71">
        <v>0</v>
      </c>
      <c r="AI71">
        <v>0</v>
      </c>
      <c r="AJ71">
        <v>57.800000000000004</v>
      </c>
      <c r="AK71">
        <v>63.2</v>
      </c>
      <c r="AL71">
        <v>34.200000000000003</v>
      </c>
      <c r="AM71">
        <v>0</v>
      </c>
      <c r="AN71">
        <v>0</v>
      </c>
    </row>
    <row r="73" spans="30:40" x14ac:dyDescent="0.2">
      <c r="AD73" t="s">
        <v>45</v>
      </c>
      <c r="AE73" t="s">
        <v>93</v>
      </c>
    </row>
    <row r="74" spans="30:40" x14ac:dyDescent="0.2">
      <c r="AD74" t="str" cm="1">
        <f t="array" aca="1" ref="AD74:AD81" ca="1">_xlfn._xlws.SORT(_xlfn._xlws.FILTER(_xlfn.ANCHORARRAY(Input_to_LEAP!AB2),NOT(ISNUMBER(SEARCH("_",_xlfn.ANCHORARRAY(Input_to_LEAP!AB2))))))</f>
        <v>Biogas</v>
      </c>
      <c r="AE74" t="str" cm="1">
        <f t="array" aca="1" ref="AE74" ca="1">_xlfn.LET(_xlpm.val,_xlfn._xlws.FILTER(_xlfn.ANCHORARRAY(Input_to_LEAP!$AB$2),ISNUMBER(SEARCH(AD74,_xlfn.ANCHORARRAY(Input_to_LEAP!$AB$2)))),IF(ROWS(_xlpm.val)=1,"Whole Malaysia",_xlpm.val))</f>
        <v>Whole Malaysia</v>
      </c>
    </row>
    <row r="75" spans="30:40" x14ac:dyDescent="0.2">
      <c r="AD75" t="str">
        <f ca="1"/>
        <v>Biomass Other</v>
      </c>
      <c r="AE75" t="str" cm="1">
        <f t="array" aca="1" ref="AE75" ca="1">_xlfn.LET(_xlpm.val,_xlfn._xlws.FILTER(_xlfn.ANCHORARRAY(Input_to_LEAP!$AB$2),ISNUMBER(SEARCH(AD75,_xlfn.ANCHORARRAY(Input_to_LEAP!$AB$2)))),IF(ROWS(_xlpm.val)=1,"Whole Malaysia",_xlfn.ARRAYTOTEXT(_xlfn.IFNA(_xlfn.TEXTAFTER(_xlpm.val,"_"),"Whole Malaysia"))))</f>
        <v>Whole Malaysia, MYPE, MYSB, MYSR</v>
      </c>
    </row>
    <row r="76" spans="30:40" x14ac:dyDescent="0.2">
      <c r="AD76" t="str">
        <f ca="1"/>
        <v>Coal Subcritical</v>
      </c>
      <c r="AE76" t="str" cm="1">
        <f t="array" aca="1" ref="AE76" ca="1">_xlfn.LET(_xlpm.val,_xlfn._xlws.FILTER(_xlfn.ANCHORARRAY(Input_to_LEAP!$AB$2),ISNUMBER(SEARCH(AD76,_xlfn.ANCHORARRAY(Input_to_LEAP!$AB$2)))),IF(ROWS(_xlpm.val)=1,"Whole Malaysia",_xlfn.ARRAYTOTEXT(_xlfn.IFNA(_xlfn.TEXTAFTER(_xlpm.val,"_"),"Whole Malaysia"))))</f>
        <v>Whole Malaysia, MYPE, MYSR</v>
      </c>
    </row>
    <row r="77" spans="30:40" x14ac:dyDescent="0.2">
      <c r="AD77" t="str">
        <f ca="1"/>
        <v>Coal Ultrasupercritical</v>
      </c>
      <c r="AE77" t="str" cm="1">
        <f t="array" aca="1" ref="AE77" ca="1">_xlfn.LET(_xlpm.val,_xlfn._xlws.FILTER(_xlfn.ANCHORARRAY(Input_to_LEAP!$AB$2),ISNUMBER(SEARCH(AD77,_xlfn.ANCHORARRAY(Input_to_LEAP!$AB$2)))),IF(ROWS(_xlpm.val)=1,"Whole Malaysia",_xlfn.ARRAYTOTEXT(_xlfn.IFNA(_xlfn.TEXTAFTER(_xlpm.val,"_"),"Whole Malaysia"))))</f>
        <v>Whole Malaysia</v>
      </c>
    </row>
    <row r="78" spans="30:40" x14ac:dyDescent="0.2">
      <c r="AD78" t="str">
        <f ca="1"/>
        <v>Diesel</v>
      </c>
      <c r="AE78" t="str" cm="1">
        <f t="array" aca="1" ref="AE78" ca="1">_xlfn.LET(_xlpm.val,_xlfn._xlws.FILTER(_xlfn.ANCHORARRAY(Input_to_LEAP!$AB$2),ISNUMBER(SEARCH(AD78,_xlfn.ANCHORARRAY(Input_to_LEAP!$AB$2)))),IF(ROWS(_xlpm.val)=1,"Whole Malaysia",_xlfn.ARRAYTOTEXT(_xlfn.IFNA(_xlfn.TEXTAFTER(_xlpm.val,"_"),"Whole Malaysia"))))</f>
        <v>Whole Malaysia, MYPE, MYSB, MYSR</v>
      </c>
    </row>
    <row r="79" spans="30:40" x14ac:dyDescent="0.2">
      <c r="AD79" t="str">
        <f ca="1"/>
        <v>Gas Combined Cycle</v>
      </c>
      <c r="AE79" t="str" cm="1">
        <f t="array" aca="1" ref="AE79" ca="1">_xlfn.LET(_xlpm.val,_xlfn._xlws.FILTER(_xlfn.ANCHORARRAY(Input_to_LEAP!$AB$2),ISNUMBER(SEARCH(AD79,_xlfn.ANCHORARRAY(Input_to_LEAP!$AB$2)))),IF(ROWS(_xlpm.val)=1,"Whole Malaysia",_xlfn.ARRAYTOTEXT(_xlfn.IFNA(_xlfn.TEXTAFTER(_xlpm.val,"_"),"Whole Malaysia"))))</f>
        <v>Whole Malaysia, MYPE, MYSB, MYSR</v>
      </c>
    </row>
    <row r="80" spans="30:40" x14ac:dyDescent="0.2">
      <c r="AD80" t="str">
        <f ca="1"/>
        <v>Large Hydro</v>
      </c>
      <c r="AE80" t="str" cm="1">
        <f t="array" aca="1" ref="AE80" ca="1">_xlfn.LET(_xlpm.val,_xlfn._xlws.FILTER(_xlfn.ANCHORARRAY(Input_to_LEAP!$AB$2),ISNUMBER(SEARCH(AD80,_xlfn.ANCHORARRAY(Input_to_LEAP!$AB$2)))),IF(ROWS(_xlpm.val)=1,"Whole Malaysia",_xlfn.ARRAYTOTEXT(_xlfn.IFNA(_xlfn.TEXTAFTER(_xlpm.val,"_"),"Whole Malaysia"))))</f>
        <v>Whole Malaysia, MYPE, MYSB, MYSR</v>
      </c>
    </row>
    <row r="81" spans="30:31" x14ac:dyDescent="0.2">
      <c r="AD81" t="str">
        <f ca="1"/>
        <v>Solar PV</v>
      </c>
      <c r="AE81" t="str" cm="1">
        <f t="array" aca="1" ref="AE81" ca="1">_xlfn.LET(_xlpm.val,_xlfn._xlws.FILTER(_xlfn.ANCHORARRAY(Input_to_LEAP!$AB$2),ISNUMBER(SEARCH(AD81,_xlfn.ANCHORARRAY(Input_to_LEAP!$AB$2)))),IF(ROWS(_xlpm.val)=1,"Whole Malaysia",_xlfn.ARRAYTOTEXT(_xlfn.IFNA(_xlfn.TEXTAFTER(_xlpm.val,"_"),"Whole Malaysia"))))</f>
        <v>Whole Malaysia, MYPE, MYSB</v>
      </c>
    </row>
  </sheetData>
  <mergeCells count="3">
    <mergeCell ref="AE54:AI54"/>
    <mergeCell ref="AJ54:AN54"/>
    <mergeCell ref="AO54:AS54"/>
  </mergeCells>
  <conditionalFormatting sqref="AJ56:AN71">
    <cfRule type="expression" dxfId="1" priority="1">
      <formula>AJ56&gt;AE56</formula>
    </cfRule>
    <cfRule type="expression" dxfId="0" priority="2">
      <formula>AJ56&lt;AE56</formula>
    </cfRule>
  </conditionalFormatting>
  <dataValidations disablePrompts="1" count="1">
    <dataValidation type="list" allowBlank="1" showInputMessage="1" showErrorMessage="1" sqref="C2:C33" xr:uid="{6A1E8DC2-5631-4273-9A72-0757918F60A8}">
      <formula1>"MYPE, MYSB, MYSR"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17E7-A7D9-4C87-B61E-A9DA70A6FEA8}">
  <dimension ref="A1:V36"/>
  <sheetViews>
    <sheetView workbookViewId="0">
      <selection activeCell="H20" sqref="H20"/>
    </sheetView>
  </sheetViews>
  <sheetFormatPr defaultRowHeight="14.25" x14ac:dyDescent="0.2"/>
  <cols>
    <col min="1" max="1" width="26.875" bestFit="1" customWidth="1"/>
    <col min="2" max="2" width="6.5" bestFit="1" customWidth="1"/>
    <col min="3" max="16" width="6.875" bestFit="1" customWidth="1"/>
    <col min="17" max="22" width="7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103</v>
      </c>
    </row>
    <row r="3" spans="1:22" x14ac:dyDescent="0.2">
      <c r="A3" t="s">
        <v>26</v>
      </c>
      <c r="B3" t="s">
        <v>103</v>
      </c>
    </row>
    <row r="4" spans="1:22" x14ac:dyDescent="0.2">
      <c r="A4" t="s">
        <v>29</v>
      </c>
      <c r="B4" t="s">
        <v>103</v>
      </c>
    </row>
    <row r="5" spans="1:22" x14ac:dyDescent="0.2">
      <c r="A5" t="s">
        <v>68</v>
      </c>
      <c r="B5" t="s">
        <v>103</v>
      </c>
    </row>
    <row r="6" spans="1:22" x14ac:dyDescent="0.2">
      <c r="A6" t="s">
        <v>21</v>
      </c>
      <c r="B6" t="s">
        <v>103</v>
      </c>
      <c r="Q6">
        <v>254</v>
      </c>
      <c r="R6">
        <v>254</v>
      </c>
      <c r="S6">
        <v>254</v>
      </c>
      <c r="T6">
        <v>254</v>
      </c>
      <c r="U6">
        <v>254</v>
      </c>
      <c r="V6">
        <v>254</v>
      </c>
    </row>
    <row r="7" spans="1:22" x14ac:dyDescent="0.2">
      <c r="A7" t="s">
        <v>69</v>
      </c>
      <c r="B7" t="s">
        <v>103</v>
      </c>
    </row>
    <row r="8" spans="1:22" x14ac:dyDescent="0.2">
      <c r="A8" t="s">
        <v>70</v>
      </c>
      <c r="B8" t="s">
        <v>103</v>
      </c>
    </row>
    <row r="9" spans="1:22" x14ac:dyDescent="0.2">
      <c r="A9" t="s">
        <v>30</v>
      </c>
      <c r="B9" t="s">
        <v>103</v>
      </c>
      <c r="C9">
        <v>13.5</v>
      </c>
      <c r="D9">
        <v>13.5</v>
      </c>
      <c r="E9">
        <v>13.5</v>
      </c>
      <c r="F9">
        <v>13.5</v>
      </c>
      <c r="G9">
        <v>13.5</v>
      </c>
      <c r="H9">
        <v>15</v>
      </c>
      <c r="I9">
        <v>14</v>
      </c>
      <c r="J9">
        <v>14</v>
      </c>
      <c r="K9">
        <v>14</v>
      </c>
      <c r="L9">
        <v>14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15</v>
      </c>
      <c r="T9">
        <v>15</v>
      </c>
      <c r="U9">
        <v>15</v>
      </c>
      <c r="V9">
        <v>15</v>
      </c>
    </row>
    <row r="10" spans="1:22" x14ac:dyDescent="0.2">
      <c r="A10" t="s">
        <v>31</v>
      </c>
      <c r="B10" t="s">
        <v>103</v>
      </c>
    </row>
    <row r="11" spans="1:22" x14ac:dyDescent="0.2">
      <c r="A11" t="s">
        <v>71</v>
      </c>
      <c r="B11" t="s">
        <v>103</v>
      </c>
    </row>
    <row r="12" spans="1:22" x14ac:dyDescent="0.2">
      <c r="A12" t="s">
        <v>36</v>
      </c>
      <c r="B12" t="s">
        <v>103</v>
      </c>
      <c r="C12">
        <v>567.43000000000006</v>
      </c>
      <c r="D12">
        <v>566.97</v>
      </c>
      <c r="E12">
        <v>566.59</v>
      </c>
      <c r="F12">
        <v>569.04</v>
      </c>
      <c r="G12">
        <v>569.71</v>
      </c>
      <c r="H12">
        <v>576.95000000000005</v>
      </c>
      <c r="I12">
        <v>583.95000000000005</v>
      </c>
      <c r="J12">
        <v>605.95000000000005</v>
      </c>
      <c r="K12">
        <v>607.49</v>
      </c>
      <c r="L12">
        <v>610.39</v>
      </c>
      <c r="M12">
        <v>613.99</v>
      </c>
      <c r="N12">
        <v>613.99</v>
      </c>
      <c r="O12">
        <v>613.99</v>
      </c>
      <c r="P12">
        <v>613.73</v>
      </c>
      <c r="Q12">
        <v>627.73</v>
      </c>
      <c r="R12">
        <v>627.73</v>
      </c>
      <c r="S12">
        <v>669.43000000000006</v>
      </c>
      <c r="T12">
        <v>669.43</v>
      </c>
      <c r="U12">
        <v>669.43000000000006</v>
      </c>
      <c r="V12">
        <v>669.43000000000006</v>
      </c>
    </row>
    <row r="13" spans="1:22" x14ac:dyDescent="0.2">
      <c r="A13" t="s">
        <v>72</v>
      </c>
      <c r="B13" t="s">
        <v>103</v>
      </c>
    </row>
    <row r="14" spans="1:22" x14ac:dyDescent="0.2">
      <c r="A14" t="s">
        <v>32</v>
      </c>
      <c r="B14" t="s">
        <v>103</v>
      </c>
      <c r="C14">
        <v>180</v>
      </c>
      <c r="D14">
        <v>180</v>
      </c>
      <c r="E14">
        <v>296</v>
      </c>
      <c r="F14">
        <v>296</v>
      </c>
      <c r="G14">
        <v>296</v>
      </c>
      <c r="H14">
        <v>296</v>
      </c>
      <c r="I14">
        <v>296</v>
      </c>
      <c r="J14">
        <v>296</v>
      </c>
      <c r="K14">
        <v>296</v>
      </c>
      <c r="L14">
        <v>296</v>
      </c>
      <c r="M14">
        <v>296</v>
      </c>
      <c r="N14">
        <v>331</v>
      </c>
      <c r="O14">
        <v>366</v>
      </c>
      <c r="P14">
        <v>366</v>
      </c>
      <c r="Q14">
        <v>366</v>
      </c>
      <c r="R14">
        <v>366</v>
      </c>
      <c r="S14">
        <v>366</v>
      </c>
      <c r="T14">
        <v>366</v>
      </c>
      <c r="U14">
        <v>366</v>
      </c>
      <c r="V14">
        <v>366</v>
      </c>
    </row>
    <row r="15" spans="1:22" x14ac:dyDescent="0.2">
      <c r="A15" t="s">
        <v>39</v>
      </c>
      <c r="B15" t="s">
        <v>103</v>
      </c>
    </row>
    <row r="16" spans="1:22" x14ac:dyDescent="0.2">
      <c r="A16" t="s">
        <v>41</v>
      </c>
      <c r="B16" t="s">
        <v>103</v>
      </c>
    </row>
    <row r="17" spans="1:22" x14ac:dyDescent="0.2">
      <c r="A17" t="s">
        <v>40</v>
      </c>
      <c r="B17" t="s">
        <v>103</v>
      </c>
    </row>
    <row r="18" spans="1:22" x14ac:dyDescent="0.2">
      <c r="A18" t="s">
        <v>73</v>
      </c>
      <c r="B18" t="s">
        <v>103</v>
      </c>
    </row>
    <row r="19" spans="1:22" x14ac:dyDescent="0.2">
      <c r="A19" t="s">
        <v>38</v>
      </c>
      <c r="B19" t="s">
        <v>103</v>
      </c>
    </row>
    <row r="20" spans="1:22" x14ac:dyDescent="0.2">
      <c r="A20" t="s">
        <v>42</v>
      </c>
      <c r="B20" t="s">
        <v>103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1.2</v>
      </c>
      <c r="Q20">
        <v>1.2</v>
      </c>
      <c r="R20">
        <v>1.2</v>
      </c>
      <c r="S20">
        <v>4.5</v>
      </c>
      <c r="T20">
        <v>4.5</v>
      </c>
      <c r="U20">
        <v>4.5</v>
      </c>
      <c r="V20">
        <v>6.8</v>
      </c>
    </row>
    <row r="21" spans="1:22" x14ac:dyDescent="0.2">
      <c r="A21" t="s">
        <v>74</v>
      </c>
      <c r="B21" t="s">
        <v>103</v>
      </c>
    </row>
    <row r="22" spans="1:22" x14ac:dyDescent="0.2">
      <c r="A22" t="s">
        <v>75</v>
      </c>
      <c r="B22" t="s">
        <v>103</v>
      </c>
    </row>
    <row r="23" spans="1:22" x14ac:dyDescent="0.2">
      <c r="A23" t="s">
        <v>44</v>
      </c>
      <c r="B23" t="s">
        <v>103</v>
      </c>
    </row>
    <row r="24" spans="1:22" x14ac:dyDescent="0.2">
      <c r="A24" t="s">
        <v>18</v>
      </c>
      <c r="B24" t="s">
        <v>103</v>
      </c>
    </row>
    <row r="25" spans="1:22" x14ac:dyDescent="0.2">
      <c r="A25" t="s">
        <v>16</v>
      </c>
      <c r="B25" t="s">
        <v>103</v>
      </c>
    </row>
    <row r="26" spans="1:22" x14ac:dyDescent="0.2">
      <c r="A26" t="s">
        <v>76</v>
      </c>
      <c r="B26" t="s">
        <v>103</v>
      </c>
    </row>
    <row r="27" spans="1:22" x14ac:dyDescent="0.2">
      <c r="A27" t="s">
        <v>77</v>
      </c>
      <c r="B27" t="s">
        <v>103</v>
      </c>
    </row>
    <row r="28" spans="1:22" x14ac:dyDescent="0.2">
      <c r="A28" t="s">
        <v>78</v>
      </c>
      <c r="B28" t="s">
        <v>103</v>
      </c>
    </row>
    <row r="29" spans="1:22" x14ac:dyDescent="0.2">
      <c r="A29" t="s">
        <v>14</v>
      </c>
      <c r="B29" t="s">
        <v>103</v>
      </c>
    </row>
    <row r="30" spans="1:22" x14ac:dyDescent="0.2">
      <c r="A30" t="s">
        <v>79</v>
      </c>
      <c r="B30" t="s">
        <v>103</v>
      </c>
    </row>
    <row r="31" spans="1:22" x14ac:dyDescent="0.2">
      <c r="A31" t="s">
        <v>80</v>
      </c>
      <c r="B31" t="s">
        <v>103</v>
      </c>
    </row>
    <row r="32" spans="1:22" x14ac:dyDescent="0.2">
      <c r="A32" t="s">
        <v>34</v>
      </c>
      <c r="B32" t="s">
        <v>103</v>
      </c>
    </row>
    <row r="33" spans="1:22" x14ac:dyDescent="0.2">
      <c r="A33" t="s">
        <v>43</v>
      </c>
      <c r="B33" t="s">
        <v>103</v>
      </c>
    </row>
    <row r="34" spans="1:22" x14ac:dyDescent="0.2">
      <c r="A34" t="s">
        <v>81</v>
      </c>
      <c r="B34" t="s">
        <v>103</v>
      </c>
      <c r="C34">
        <v>760.93000000000006</v>
      </c>
      <c r="D34">
        <v>760.47</v>
      </c>
      <c r="E34">
        <v>876.09</v>
      </c>
      <c r="F34">
        <v>878.54</v>
      </c>
      <c r="G34">
        <v>879.21</v>
      </c>
      <c r="H34">
        <v>888.95</v>
      </c>
      <c r="I34">
        <v>894.95</v>
      </c>
      <c r="J34">
        <v>916.95</v>
      </c>
      <c r="K34">
        <v>918.49</v>
      </c>
      <c r="L34">
        <v>921.39</v>
      </c>
      <c r="M34">
        <v>922.99</v>
      </c>
      <c r="N34">
        <v>957.99</v>
      </c>
      <c r="O34">
        <v>992.99</v>
      </c>
      <c r="P34">
        <v>992.93000000000006</v>
      </c>
      <c r="Q34">
        <v>1260.93</v>
      </c>
      <c r="R34">
        <v>1260.93</v>
      </c>
      <c r="S34">
        <v>1308.93</v>
      </c>
      <c r="T34">
        <v>1308.9299999999998</v>
      </c>
      <c r="U34">
        <v>1308.93</v>
      </c>
      <c r="V34">
        <v>1311.23</v>
      </c>
    </row>
    <row r="36" spans="1:22" x14ac:dyDescent="0.2">
      <c r="C36" cm="1">
        <f t="array" ref="C36">_xlfn.LET(_xlpm.table,Brunei[],PRODUCT(--(_xlfn.BYCOL(_xlfn.DROP(_xlpm.table,-1,2),_xleta.SUM)=_xlfn.TAKE(_xlfn.DROP(_xlpm.table,,2),-1))))</f>
        <v>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08238-9C4C-4C8B-A6D5-821C9FF9A6B8}">
  <dimension ref="A1:V36"/>
  <sheetViews>
    <sheetView workbookViewId="0">
      <selection activeCell="H20" sqref="H20"/>
    </sheetView>
  </sheetViews>
  <sheetFormatPr defaultRowHeight="14.25" x14ac:dyDescent="0.2"/>
  <cols>
    <col min="1" max="1" width="26.875" bestFit="1" customWidth="1"/>
    <col min="2" max="2" width="6.5" bestFit="1" customWidth="1"/>
    <col min="3" max="8" width="7.875" bestFit="1" customWidth="1"/>
    <col min="9" max="11" width="6.875" bestFit="1" customWidth="1"/>
    <col min="12" max="15" width="7.875" bestFit="1" customWidth="1"/>
    <col min="16" max="18" width="6.875" bestFit="1" customWidth="1"/>
    <col min="19" max="20" width="7.875" bestFit="1" customWidth="1"/>
    <col min="21" max="22" width="6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103</v>
      </c>
      <c r="C2">
        <v>0</v>
      </c>
      <c r="D2">
        <v>0</v>
      </c>
      <c r="E2">
        <v>0</v>
      </c>
      <c r="F2">
        <v>13</v>
      </c>
      <c r="G2">
        <v>13</v>
      </c>
      <c r="H2">
        <v>13</v>
      </c>
      <c r="I2">
        <v>13</v>
      </c>
      <c r="J2">
        <v>13</v>
      </c>
      <c r="K2">
        <v>113</v>
      </c>
      <c r="L2">
        <v>268</v>
      </c>
      <c r="M2">
        <v>403</v>
      </c>
      <c r="N2">
        <v>429.2</v>
      </c>
      <c r="O2">
        <v>538</v>
      </c>
      <c r="P2">
        <v>551</v>
      </c>
      <c r="Q2">
        <v>709</v>
      </c>
      <c r="R2">
        <v>675</v>
      </c>
      <c r="S2">
        <v>675</v>
      </c>
      <c r="T2">
        <v>1025</v>
      </c>
      <c r="U2">
        <v>1300</v>
      </c>
      <c r="V2">
        <v>1300</v>
      </c>
    </row>
    <row r="3" spans="1:22" x14ac:dyDescent="0.2">
      <c r="A3" t="s">
        <v>26</v>
      </c>
      <c r="B3" t="s">
        <v>103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22" x14ac:dyDescent="0.2">
      <c r="A4" t="s">
        <v>29</v>
      </c>
      <c r="B4" t="s">
        <v>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22" x14ac:dyDescent="0.2">
      <c r="A5" t="s">
        <v>68</v>
      </c>
      <c r="B5" t="s">
        <v>103</v>
      </c>
    </row>
    <row r="6" spans="1:22" x14ac:dyDescent="0.2">
      <c r="A6" t="s">
        <v>21</v>
      </c>
      <c r="B6" t="s">
        <v>103</v>
      </c>
    </row>
    <row r="7" spans="1:22" x14ac:dyDescent="0.2">
      <c r="A7" t="s">
        <v>69</v>
      </c>
      <c r="B7" t="s">
        <v>103</v>
      </c>
    </row>
    <row r="8" spans="1:22" x14ac:dyDescent="0.2">
      <c r="A8" t="s">
        <v>70</v>
      </c>
      <c r="B8" t="s">
        <v>103</v>
      </c>
    </row>
    <row r="9" spans="1:22" x14ac:dyDescent="0.2">
      <c r="A9" t="s">
        <v>30</v>
      </c>
      <c r="B9" t="s">
        <v>103</v>
      </c>
      <c r="C9">
        <v>20</v>
      </c>
      <c r="D9">
        <v>20</v>
      </c>
      <c r="E9">
        <v>35</v>
      </c>
      <c r="F9">
        <v>43</v>
      </c>
      <c r="G9">
        <v>38</v>
      </c>
      <c r="H9">
        <v>39</v>
      </c>
      <c r="I9">
        <v>57</v>
      </c>
      <c r="J9">
        <v>54</v>
      </c>
      <c r="K9">
        <v>59</v>
      </c>
      <c r="L9">
        <v>34</v>
      </c>
      <c r="M9">
        <v>40</v>
      </c>
      <c r="N9">
        <v>40</v>
      </c>
      <c r="O9">
        <v>13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">
      <c r="A10" t="s">
        <v>31</v>
      </c>
      <c r="B10" t="s">
        <v>103</v>
      </c>
      <c r="C10">
        <v>199</v>
      </c>
      <c r="D10">
        <v>262</v>
      </c>
      <c r="E10">
        <v>262</v>
      </c>
      <c r="F10">
        <v>310</v>
      </c>
      <c r="G10">
        <v>302</v>
      </c>
      <c r="H10">
        <v>289</v>
      </c>
      <c r="I10">
        <v>285</v>
      </c>
      <c r="J10">
        <v>267</v>
      </c>
      <c r="K10">
        <v>266</v>
      </c>
      <c r="L10">
        <v>257</v>
      </c>
      <c r="M10">
        <v>218</v>
      </c>
      <c r="N10">
        <v>274</v>
      </c>
      <c r="O10">
        <v>251</v>
      </c>
      <c r="P10">
        <v>267</v>
      </c>
      <c r="Q10">
        <v>270</v>
      </c>
      <c r="R10">
        <v>659</v>
      </c>
      <c r="S10">
        <v>619.6</v>
      </c>
      <c r="T10">
        <v>642.6</v>
      </c>
      <c r="U10">
        <v>400</v>
      </c>
      <c r="V10">
        <v>400</v>
      </c>
    </row>
    <row r="11" spans="1:22" x14ac:dyDescent="0.2">
      <c r="A11" t="s">
        <v>71</v>
      </c>
      <c r="B11" t="s">
        <v>103</v>
      </c>
    </row>
    <row r="12" spans="1:22" x14ac:dyDescent="0.2">
      <c r="A12" t="s">
        <v>36</v>
      </c>
      <c r="B12" t="s">
        <v>103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22" x14ac:dyDescent="0.2">
      <c r="A13" t="s">
        <v>72</v>
      </c>
      <c r="B13" t="s">
        <v>103</v>
      </c>
    </row>
    <row r="14" spans="1:22" x14ac:dyDescent="0.2">
      <c r="A14" t="s">
        <v>32</v>
      </c>
      <c r="B14" t="s">
        <v>103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22" x14ac:dyDescent="0.2">
      <c r="A15" t="s">
        <v>39</v>
      </c>
      <c r="B15" t="s">
        <v>103</v>
      </c>
      <c r="C15">
        <v>12.96</v>
      </c>
      <c r="D15">
        <v>12.96</v>
      </c>
      <c r="E15">
        <v>12.96</v>
      </c>
      <c r="F15">
        <v>13.386000000000001</v>
      </c>
      <c r="G15">
        <v>13.35</v>
      </c>
      <c r="H15">
        <v>13.33</v>
      </c>
      <c r="I15">
        <v>207.06</v>
      </c>
      <c r="J15">
        <v>225.43</v>
      </c>
      <c r="K15">
        <v>682.1</v>
      </c>
      <c r="L15">
        <v>682.1</v>
      </c>
      <c r="M15">
        <v>927</v>
      </c>
      <c r="N15">
        <v>929.7</v>
      </c>
      <c r="O15">
        <v>979.7</v>
      </c>
      <c r="P15">
        <v>1330</v>
      </c>
      <c r="Q15">
        <v>1330</v>
      </c>
      <c r="R15">
        <v>1330</v>
      </c>
      <c r="S15">
        <v>1329.7</v>
      </c>
      <c r="T15">
        <v>1331.7</v>
      </c>
      <c r="U15">
        <v>1791</v>
      </c>
      <c r="V15">
        <v>1796</v>
      </c>
    </row>
    <row r="16" spans="1:22" x14ac:dyDescent="0.2">
      <c r="A16" t="s">
        <v>41</v>
      </c>
      <c r="B16" t="s">
        <v>103</v>
      </c>
    </row>
    <row r="17" spans="1:22" x14ac:dyDescent="0.2">
      <c r="A17" t="s">
        <v>40</v>
      </c>
      <c r="B17" t="s">
        <v>103</v>
      </c>
    </row>
    <row r="18" spans="1:22" x14ac:dyDescent="0.2">
      <c r="A18" t="s">
        <v>73</v>
      </c>
      <c r="B18" t="s">
        <v>103</v>
      </c>
    </row>
    <row r="19" spans="1:22" x14ac:dyDescent="0.2">
      <c r="A19" t="s">
        <v>38</v>
      </c>
      <c r="B19" t="s">
        <v>103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22" x14ac:dyDescent="0.2">
      <c r="A20" t="s">
        <v>42</v>
      </c>
      <c r="B20" t="s">
        <v>103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</v>
      </c>
      <c r="P20">
        <v>10</v>
      </c>
      <c r="Q20">
        <v>105</v>
      </c>
      <c r="R20">
        <v>297</v>
      </c>
      <c r="S20">
        <v>356.8</v>
      </c>
      <c r="T20">
        <v>436.8</v>
      </c>
      <c r="U20">
        <v>437</v>
      </c>
      <c r="V20">
        <v>966</v>
      </c>
    </row>
    <row r="21" spans="1:22" x14ac:dyDescent="0.2">
      <c r="A21" t="s">
        <v>74</v>
      </c>
      <c r="B21" t="s">
        <v>103</v>
      </c>
    </row>
    <row r="22" spans="1:22" x14ac:dyDescent="0.2">
      <c r="A22" t="s">
        <v>75</v>
      </c>
      <c r="B22" t="s">
        <v>103</v>
      </c>
    </row>
    <row r="23" spans="1:22" x14ac:dyDescent="0.2">
      <c r="A23" t="s">
        <v>44</v>
      </c>
      <c r="B23" t="s">
        <v>103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22" x14ac:dyDescent="0.2">
      <c r="A24" t="s">
        <v>18</v>
      </c>
      <c r="B24" t="s">
        <v>103</v>
      </c>
      <c r="C24">
        <v>0.10200000000000001</v>
      </c>
      <c r="D24">
        <v>4.5120000000000005</v>
      </c>
      <c r="E24">
        <v>4.6020000000000003</v>
      </c>
      <c r="F24">
        <v>5.0920000000000005</v>
      </c>
      <c r="G24">
        <v>5.7759999999999998</v>
      </c>
      <c r="H24">
        <v>5.7759999999999998</v>
      </c>
      <c r="I24">
        <v>6.5</v>
      </c>
      <c r="J24">
        <v>22.5</v>
      </c>
      <c r="K24">
        <v>22.5</v>
      </c>
      <c r="L24">
        <v>22.64</v>
      </c>
      <c r="M24">
        <v>16.57</v>
      </c>
      <c r="N24">
        <v>51.27</v>
      </c>
      <c r="O24">
        <v>64.77</v>
      </c>
      <c r="P24">
        <v>29</v>
      </c>
      <c r="Q24">
        <v>29</v>
      </c>
      <c r="R24">
        <v>29</v>
      </c>
      <c r="S24">
        <v>28.57</v>
      </c>
      <c r="T24">
        <v>28.57</v>
      </c>
      <c r="U24">
        <v>49</v>
      </c>
      <c r="V24">
        <v>49</v>
      </c>
    </row>
    <row r="25" spans="1:22" x14ac:dyDescent="0.2">
      <c r="A25" t="s">
        <v>16</v>
      </c>
      <c r="B25" t="s">
        <v>103</v>
      </c>
    </row>
    <row r="26" spans="1:22" x14ac:dyDescent="0.2">
      <c r="A26" t="s">
        <v>76</v>
      </c>
      <c r="B26" t="s">
        <v>103</v>
      </c>
    </row>
    <row r="27" spans="1:22" x14ac:dyDescent="0.2">
      <c r="A27" t="s">
        <v>77</v>
      </c>
      <c r="B27" t="s">
        <v>103</v>
      </c>
    </row>
    <row r="28" spans="1:22" x14ac:dyDescent="0.2">
      <c r="A28" t="s">
        <v>78</v>
      </c>
      <c r="B28" t="s">
        <v>103</v>
      </c>
    </row>
    <row r="29" spans="1:22" x14ac:dyDescent="0.2">
      <c r="A29" t="s">
        <v>14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22" x14ac:dyDescent="0.2">
      <c r="A30" t="s">
        <v>79</v>
      </c>
      <c r="B30" t="s">
        <v>103</v>
      </c>
    </row>
    <row r="31" spans="1:22" x14ac:dyDescent="0.2">
      <c r="A31" t="s">
        <v>80</v>
      </c>
      <c r="B31" t="s">
        <v>103</v>
      </c>
    </row>
    <row r="32" spans="1:22" x14ac:dyDescent="0.2">
      <c r="A32" t="s">
        <v>34</v>
      </c>
      <c r="B32" t="s">
        <v>103</v>
      </c>
    </row>
    <row r="33" spans="1:22" x14ac:dyDescent="0.2">
      <c r="A33" t="s">
        <v>43</v>
      </c>
      <c r="B33" t="s">
        <v>103</v>
      </c>
    </row>
    <row r="34" spans="1:22" x14ac:dyDescent="0.2">
      <c r="A34" t="s">
        <v>81</v>
      </c>
      <c r="B34" t="s">
        <v>103</v>
      </c>
      <c r="C34">
        <v>232.06200000000001</v>
      </c>
      <c r="D34">
        <v>299.47199999999998</v>
      </c>
      <c r="E34">
        <v>314.56199999999995</v>
      </c>
      <c r="F34">
        <v>384.47800000000001</v>
      </c>
      <c r="G34">
        <v>372.12600000000003</v>
      </c>
      <c r="H34">
        <v>360.10599999999999</v>
      </c>
      <c r="I34">
        <v>568.55999999999995</v>
      </c>
      <c r="J34">
        <v>581.93000000000006</v>
      </c>
      <c r="K34">
        <v>1142.5999999999999</v>
      </c>
      <c r="L34">
        <v>1263.74</v>
      </c>
      <c r="M34">
        <v>1604.57</v>
      </c>
      <c r="N34">
        <v>1724.17</v>
      </c>
      <c r="O34">
        <v>1856.47</v>
      </c>
      <c r="P34">
        <v>2187</v>
      </c>
      <c r="Q34">
        <v>2443</v>
      </c>
      <c r="R34">
        <v>2990</v>
      </c>
      <c r="S34">
        <v>3009.6700000000005</v>
      </c>
      <c r="T34">
        <v>3464.6700000000005</v>
      </c>
      <c r="U34">
        <v>3977</v>
      </c>
      <c r="V34">
        <v>4511</v>
      </c>
    </row>
    <row r="36" spans="1:22" x14ac:dyDescent="0.2">
      <c r="C36" cm="1">
        <f t="array" ref="C36">_xlfn.LET(_xlpm.table,Cambodia[],PRODUCT(--(_xlfn.BYCOL(_xlfn.DROP(_xlpm.table,-1,2),_xleta.SUM)=_xlfn.TAKE(_xlfn.DROP(_xlpm.table,,2),-1))))</f>
        <v>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3317-2A60-46F3-9630-FEF5C4F35A66}">
  <dimension ref="A1:V36"/>
  <sheetViews>
    <sheetView workbookViewId="0">
      <selection activeCell="J2" sqref="J2"/>
    </sheetView>
  </sheetViews>
  <sheetFormatPr defaultRowHeight="14.25" x14ac:dyDescent="0.2"/>
  <cols>
    <col min="1" max="1" width="26.875" bestFit="1" customWidth="1"/>
    <col min="2" max="2" width="6.5" bestFit="1" customWidth="1"/>
    <col min="3" max="4" width="8.875" bestFit="1" customWidth="1"/>
    <col min="5" max="13" width="9.875" bestFit="1" customWidth="1"/>
    <col min="14" max="14" width="8.875" bestFit="1" customWidth="1"/>
    <col min="15" max="15" width="9.875" bestFit="1" customWidth="1"/>
    <col min="16" max="21" width="8.875" bestFit="1" customWidth="1"/>
    <col min="22" max="22" width="9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103</v>
      </c>
      <c r="C2">
        <v>9750</v>
      </c>
      <c r="D2">
        <v>11170</v>
      </c>
      <c r="E2">
        <v>12014</v>
      </c>
      <c r="F2">
        <v>12294</v>
      </c>
      <c r="G2">
        <v>12594</v>
      </c>
      <c r="H2">
        <v>12981.5</v>
      </c>
      <c r="I2">
        <v>16359</v>
      </c>
      <c r="J2">
        <v>16805</v>
      </c>
      <c r="K2">
        <v>20868.53</v>
      </c>
      <c r="L2">
        <v>22160.23</v>
      </c>
      <c r="M2">
        <v>24285.73</v>
      </c>
      <c r="N2">
        <v>24388.23</v>
      </c>
      <c r="O2">
        <v>23396.2</v>
      </c>
      <c r="P2">
        <v>28178.17</v>
      </c>
      <c r="Q2">
        <v>31328.17</v>
      </c>
      <c r="R2">
        <v>33258.86</v>
      </c>
      <c r="S2">
        <v>33627.360000000001</v>
      </c>
      <c r="T2">
        <v>42605.26</v>
      </c>
      <c r="U2">
        <v>46347.37</v>
      </c>
      <c r="V2">
        <v>50929.84</v>
      </c>
    </row>
    <row r="3" spans="1:22" x14ac:dyDescent="0.2">
      <c r="A3" t="s">
        <v>26</v>
      </c>
      <c r="B3" t="s">
        <v>103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1475</v>
      </c>
      <c r="K3">
        <v>1475</v>
      </c>
      <c r="L3">
        <v>1475</v>
      </c>
      <c r="M3">
        <v>1475</v>
      </c>
      <c r="N3">
        <v>2749</v>
      </c>
      <c r="O3">
        <v>3409</v>
      </c>
      <c r="P3">
        <v>3409</v>
      </c>
      <c r="Q3">
        <v>3409</v>
      </c>
      <c r="R3">
        <v>3409</v>
      </c>
      <c r="S3">
        <v>3409</v>
      </c>
      <c r="T3">
        <v>3409</v>
      </c>
      <c r="U3">
        <v>3409</v>
      </c>
      <c r="V3">
        <v>3409</v>
      </c>
    </row>
    <row r="4" spans="1:22" x14ac:dyDescent="0.2">
      <c r="A4" t="s">
        <v>29</v>
      </c>
      <c r="B4" t="s">
        <v>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 t="s">
        <v>68</v>
      </c>
      <c r="B5" t="s">
        <v>103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">
      <c r="A6" t="s">
        <v>21</v>
      </c>
      <c r="B6" t="s">
        <v>103</v>
      </c>
      <c r="P6">
        <v>0</v>
      </c>
      <c r="Q6">
        <v>0</v>
      </c>
      <c r="R6">
        <v>0</v>
      </c>
      <c r="S6">
        <v>0</v>
      </c>
      <c r="T6">
        <v>30</v>
      </c>
      <c r="U6">
        <v>250</v>
      </c>
      <c r="V6">
        <v>450</v>
      </c>
    </row>
    <row r="7" spans="1:22" x14ac:dyDescent="0.2">
      <c r="A7" t="s">
        <v>69</v>
      </c>
      <c r="B7" t="s">
        <v>103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">
      <c r="A8" t="s">
        <v>70</v>
      </c>
      <c r="B8" t="s">
        <v>103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">
      <c r="A9" t="s">
        <v>30</v>
      </c>
      <c r="B9" t="s">
        <v>103</v>
      </c>
      <c r="C9">
        <v>3208.08</v>
      </c>
      <c r="D9">
        <v>3165.05</v>
      </c>
      <c r="E9">
        <v>3211.91</v>
      </c>
      <c r="F9">
        <v>3272.98</v>
      </c>
      <c r="G9">
        <v>3256.36</v>
      </c>
      <c r="H9">
        <v>4569.8900000000003</v>
      </c>
      <c r="I9">
        <v>5471.93</v>
      </c>
      <c r="J9">
        <v>5973.58</v>
      </c>
      <c r="K9">
        <v>5935</v>
      </c>
      <c r="L9">
        <v>6206.99</v>
      </c>
      <c r="M9">
        <v>6274.79</v>
      </c>
      <c r="N9">
        <v>6274.79</v>
      </c>
      <c r="O9">
        <v>6278.79</v>
      </c>
      <c r="P9">
        <v>4630.8999999999996</v>
      </c>
      <c r="Q9">
        <v>4779.68</v>
      </c>
      <c r="R9">
        <v>4863.53</v>
      </c>
      <c r="S9">
        <v>4986.58</v>
      </c>
      <c r="T9">
        <v>4352.09</v>
      </c>
      <c r="U9">
        <v>4638.3100000000004</v>
      </c>
      <c r="V9">
        <v>5819.28</v>
      </c>
    </row>
    <row r="10" spans="1:22" x14ac:dyDescent="0.2">
      <c r="A10" t="s">
        <v>31</v>
      </c>
      <c r="B10" t="s">
        <v>103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t="s">
        <v>71</v>
      </c>
      <c r="B11" t="s">
        <v>103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">
      <c r="A12" t="s">
        <v>36</v>
      </c>
      <c r="B12" t="s">
        <v>103</v>
      </c>
      <c r="C12">
        <v>3099.35</v>
      </c>
      <c r="D12">
        <v>3102.9500000000003</v>
      </c>
      <c r="E12">
        <v>3220.1759999999999</v>
      </c>
      <c r="F12">
        <v>3068.973</v>
      </c>
      <c r="G12">
        <v>3135.877</v>
      </c>
      <c r="H12">
        <v>3821.567</v>
      </c>
      <c r="I12">
        <v>4236.0209999999997</v>
      </c>
      <c r="J12">
        <v>4343.8209999999999</v>
      </c>
      <c r="K12">
        <v>4389.0860000000002</v>
      </c>
      <c r="L12">
        <v>4310.4980000000005</v>
      </c>
      <c r="M12">
        <v>4310.4980000000005</v>
      </c>
      <c r="N12">
        <v>4420.5</v>
      </c>
      <c r="O12">
        <v>4420.4980000000005</v>
      </c>
      <c r="P12">
        <v>5348.44</v>
      </c>
      <c r="Q12">
        <v>5348.44</v>
      </c>
      <c r="R12">
        <v>5348.44</v>
      </c>
      <c r="S12">
        <v>5348.44</v>
      </c>
      <c r="T12">
        <v>4456.74</v>
      </c>
      <c r="U12">
        <v>4453.2700000000004</v>
      </c>
      <c r="V12">
        <v>4477.66</v>
      </c>
    </row>
    <row r="13" spans="1:22" x14ac:dyDescent="0.2">
      <c r="A13" t="s">
        <v>72</v>
      </c>
      <c r="B13" t="s">
        <v>103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 t="s">
        <v>32</v>
      </c>
      <c r="B14" t="s">
        <v>103</v>
      </c>
      <c r="C14">
        <v>6919.97</v>
      </c>
      <c r="D14">
        <v>7659.97</v>
      </c>
      <c r="E14">
        <v>7699.97</v>
      </c>
      <c r="F14">
        <v>8009.97</v>
      </c>
      <c r="G14">
        <v>8009.97</v>
      </c>
      <c r="H14">
        <v>7590.32</v>
      </c>
      <c r="I14">
        <v>8480.9699999999993</v>
      </c>
      <c r="J14">
        <v>9461.11</v>
      </c>
      <c r="K14">
        <v>9852.2100000000009</v>
      </c>
      <c r="L14">
        <v>10146.11</v>
      </c>
      <c r="M14">
        <v>10146.11</v>
      </c>
      <c r="N14">
        <v>10146.11</v>
      </c>
      <c r="O14">
        <v>10146.11</v>
      </c>
      <c r="P14">
        <v>11220.1</v>
      </c>
      <c r="Q14">
        <v>11669.54</v>
      </c>
      <c r="R14">
        <v>12235.71</v>
      </c>
      <c r="S14">
        <v>12411.51</v>
      </c>
      <c r="T14">
        <v>13397.82</v>
      </c>
      <c r="U14">
        <v>16065.76</v>
      </c>
      <c r="V14">
        <v>18798.41</v>
      </c>
    </row>
    <row r="15" spans="1:22" x14ac:dyDescent="0.2">
      <c r="A15" t="s">
        <v>39</v>
      </c>
      <c r="B15" t="s">
        <v>103</v>
      </c>
      <c r="C15">
        <v>3410.94</v>
      </c>
      <c r="D15">
        <v>3719.19</v>
      </c>
      <c r="E15">
        <v>3694.62</v>
      </c>
      <c r="F15">
        <v>3697.52</v>
      </c>
      <c r="G15">
        <v>3701.67</v>
      </c>
      <c r="H15">
        <v>3733.91</v>
      </c>
      <c r="I15">
        <v>3944.42</v>
      </c>
      <c r="J15">
        <v>4146.41</v>
      </c>
      <c r="K15">
        <v>5165.6099999999997</v>
      </c>
      <c r="L15">
        <v>5229.3900000000003</v>
      </c>
      <c r="M15">
        <v>5260.6900000000005</v>
      </c>
      <c r="N15">
        <v>5382.39</v>
      </c>
      <c r="O15">
        <v>5450.14</v>
      </c>
      <c r="P15">
        <v>5399.59</v>
      </c>
      <c r="Q15">
        <v>5558.52</v>
      </c>
      <c r="R15">
        <v>5638.67</v>
      </c>
      <c r="S15">
        <v>5988.67</v>
      </c>
      <c r="T15">
        <v>5988.67</v>
      </c>
      <c r="U15">
        <v>5610.07</v>
      </c>
      <c r="V15">
        <v>6047.16</v>
      </c>
    </row>
    <row r="16" spans="1:22" x14ac:dyDescent="0.2">
      <c r="A16" t="s">
        <v>41</v>
      </c>
      <c r="B16" t="s">
        <v>103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372.56</v>
      </c>
      <c r="Q16">
        <v>417.51</v>
      </c>
      <c r="R16">
        <v>482.21</v>
      </c>
      <c r="S16">
        <v>613.07999999999993</v>
      </c>
      <c r="T16">
        <v>700.34999999999991</v>
      </c>
      <c r="U16">
        <v>959.57</v>
      </c>
      <c r="V16">
        <v>1005.3100000000001</v>
      </c>
    </row>
    <row r="17" spans="1:22" x14ac:dyDescent="0.2">
      <c r="A17" t="s">
        <v>40</v>
      </c>
      <c r="B17" t="s">
        <v>103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">
      <c r="A18" t="s">
        <v>73</v>
      </c>
      <c r="B18" t="s">
        <v>103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">
      <c r="A19" t="s">
        <v>38</v>
      </c>
      <c r="B19" t="s">
        <v>103</v>
      </c>
      <c r="C19">
        <v>850</v>
      </c>
      <c r="D19">
        <v>850</v>
      </c>
      <c r="E19">
        <v>980</v>
      </c>
      <c r="F19">
        <v>1052</v>
      </c>
      <c r="G19">
        <v>1189</v>
      </c>
      <c r="H19">
        <v>1189</v>
      </c>
      <c r="I19">
        <v>1226</v>
      </c>
      <c r="J19">
        <v>1336</v>
      </c>
      <c r="K19">
        <v>1343.5</v>
      </c>
      <c r="L19">
        <v>1403.5</v>
      </c>
      <c r="M19">
        <v>1438.5</v>
      </c>
      <c r="N19">
        <v>1643.5</v>
      </c>
      <c r="O19">
        <v>1808.3</v>
      </c>
      <c r="P19">
        <v>1948.3</v>
      </c>
      <c r="Q19">
        <v>2130.6999999999998</v>
      </c>
      <c r="R19">
        <v>2130.6999999999998</v>
      </c>
      <c r="S19">
        <v>2286.0500000000002</v>
      </c>
      <c r="T19">
        <v>2360.33</v>
      </c>
      <c r="U19">
        <v>2597.5100000000002</v>
      </c>
      <c r="V19">
        <v>2638.76</v>
      </c>
    </row>
    <row r="20" spans="1:22" x14ac:dyDescent="0.2">
      <c r="A20" t="s">
        <v>42</v>
      </c>
      <c r="B20" t="s">
        <v>103</v>
      </c>
      <c r="C20">
        <v>0</v>
      </c>
      <c r="D20">
        <v>0</v>
      </c>
      <c r="E20">
        <v>0</v>
      </c>
      <c r="F20">
        <v>0</v>
      </c>
      <c r="G20">
        <v>0</v>
      </c>
      <c r="H20">
        <v>0.19</v>
      </c>
      <c r="I20">
        <v>1.2</v>
      </c>
      <c r="J20">
        <v>4.0999999999999996</v>
      </c>
      <c r="K20">
        <v>9</v>
      </c>
      <c r="L20">
        <v>9</v>
      </c>
      <c r="M20">
        <v>36.9</v>
      </c>
      <c r="N20">
        <v>46.7</v>
      </c>
      <c r="O20">
        <v>54.5</v>
      </c>
      <c r="P20">
        <v>60.190000000000005</v>
      </c>
      <c r="Q20">
        <v>145.81</v>
      </c>
      <c r="R20">
        <v>147.29000000000002</v>
      </c>
      <c r="S20">
        <v>201.08999999999997</v>
      </c>
      <c r="T20">
        <v>283.14</v>
      </c>
      <c r="U20">
        <v>599.97</v>
      </c>
      <c r="V20">
        <v>909.43</v>
      </c>
    </row>
    <row r="21" spans="1:22" x14ac:dyDescent="0.2">
      <c r="A21" t="s">
        <v>74</v>
      </c>
      <c r="B21" t="s">
        <v>103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">
      <c r="A22" t="s">
        <v>75</v>
      </c>
      <c r="B22" t="s">
        <v>103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">
      <c r="A23" t="s">
        <v>44</v>
      </c>
      <c r="B23" t="s">
        <v>103</v>
      </c>
      <c r="C23">
        <v>0</v>
      </c>
      <c r="D23">
        <v>0</v>
      </c>
      <c r="E23">
        <v>0.1</v>
      </c>
      <c r="F23">
        <v>0.26</v>
      </c>
      <c r="G23">
        <v>1.06</v>
      </c>
      <c r="H23">
        <v>0.34</v>
      </c>
      <c r="I23">
        <v>0.93</v>
      </c>
      <c r="J23">
        <v>0.93</v>
      </c>
      <c r="K23">
        <v>0.63</v>
      </c>
      <c r="L23">
        <v>1.1200000000000001</v>
      </c>
      <c r="M23">
        <v>1.1200000000000001</v>
      </c>
      <c r="N23">
        <v>1.1200000000000001</v>
      </c>
      <c r="O23">
        <v>1.1200000000000001</v>
      </c>
      <c r="P23">
        <v>143.51</v>
      </c>
      <c r="Q23">
        <v>154.31</v>
      </c>
      <c r="R23">
        <v>154.31</v>
      </c>
      <c r="S23">
        <v>154.31</v>
      </c>
      <c r="T23">
        <v>154.31</v>
      </c>
      <c r="U23">
        <v>152.29999999999998</v>
      </c>
      <c r="V23">
        <v>152.29999999999998</v>
      </c>
    </row>
    <row r="24" spans="1:22" x14ac:dyDescent="0.2">
      <c r="A24" t="s">
        <v>18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0.9</v>
      </c>
      <c r="P24">
        <v>1762.12</v>
      </c>
      <c r="Q24">
        <v>1767.12</v>
      </c>
      <c r="R24">
        <v>1770.62</v>
      </c>
      <c r="S24">
        <v>2124.7400000000002</v>
      </c>
      <c r="T24">
        <v>2925.05</v>
      </c>
      <c r="U24">
        <v>3201.01</v>
      </c>
      <c r="V24">
        <v>2906.36</v>
      </c>
    </row>
    <row r="25" spans="1:22" x14ac:dyDescent="0.2">
      <c r="A25" t="s">
        <v>16</v>
      </c>
      <c r="B25" t="s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">
      <c r="A26" t="s">
        <v>76</v>
      </c>
      <c r="B26" t="s">
        <v>103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">
      <c r="A27" t="s">
        <v>77</v>
      </c>
      <c r="B27" t="s">
        <v>103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">
      <c r="A28" t="s">
        <v>78</v>
      </c>
      <c r="B28" t="s">
        <v>103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">
      <c r="A29" t="s">
        <v>14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12.8</v>
      </c>
      <c r="P29">
        <v>108.61000000000001</v>
      </c>
      <c r="Q29">
        <v>112.41</v>
      </c>
      <c r="R29">
        <v>117.82</v>
      </c>
      <c r="S29">
        <v>134.79</v>
      </c>
      <c r="T29">
        <v>149.41</v>
      </c>
      <c r="U29">
        <v>155.93</v>
      </c>
      <c r="V29">
        <v>157.25</v>
      </c>
    </row>
    <row r="30" spans="1:22" x14ac:dyDescent="0.2">
      <c r="A30" t="s">
        <v>79</v>
      </c>
      <c r="B30" t="s">
        <v>103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">
      <c r="A31" t="s">
        <v>80</v>
      </c>
      <c r="B31" t="s">
        <v>103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18</v>
      </c>
    </row>
    <row r="32" spans="1:22" x14ac:dyDescent="0.2">
      <c r="A32" t="s">
        <v>34</v>
      </c>
      <c r="B32" t="s">
        <v>103</v>
      </c>
      <c r="C32">
        <v>3</v>
      </c>
      <c r="D32">
        <v>21</v>
      </c>
      <c r="E32">
        <v>33</v>
      </c>
      <c r="F32">
        <v>66.84</v>
      </c>
      <c r="G32">
        <v>71</v>
      </c>
      <c r="H32">
        <v>92.84</v>
      </c>
      <c r="I32">
        <v>169.54</v>
      </c>
      <c r="J32">
        <v>198.74</v>
      </c>
      <c r="K32">
        <v>448.12</v>
      </c>
      <c r="L32">
        <v>610.74099999999999</v>
      </c>
      <c r="M32">
        <v>818.74099999999999</v>
      </c>
      <c r="N32">
        <v>1852.74</v>
      </c>
      <c r="O32">
        <v>2406.971</v>
      </c>
      <c r="P32">
        <v>2357.66</v>
      </c>
      <c r="Q32">
        <v>2842.03</v>
      </c>
      <c r="R32">
        <v>3177.93</v>
      </c>
      <c r="S32">
        <v>3218.87</v>
      </c>
      <c r="T32">
        <v>2976.47</v>
      </c>
      <c r="U32">
        <v>2689.32</v>
      </c>
      <c r="V32">
        <v>2889.82</v>
      </c>
    </row>
    <row r="33" spans="1:22" x14ac:dyDescent="0.2">
      <c r="A33" t="s">
        <v>43</v>
      </c>
      <c r="B33" t="s">
        <v>103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</v>
      </c>
      <c r="J33">
        <v>26</v>
      </c>
      <c r="K33">
        <v>26</v>
      </c>
      <c r="L33">
        <v>36</v>
      </c>
      <c r="M33">
        <v>15.65</v>
      </c>
      <c r="N33">
        <v>15.65</v>
      </c>
      <c r="O33">
        <v>15.65</v>
      </c>
      <c r="P33">
        <v>15.65</v>
      </c>
      <c r="Q33">
        <v>15.65</v>
      </c>
      <c r="R33">
        <v>15.65</v>
      </c>
      <c r="S33">
        <v>28.45</v>
      </c>
      <c r="T33">
        <v>24.45</v>
      </c>
      <c r="U33">
        <v>36.47</v>
      </c>
      <c r="V33">
        <v>36.47</v>
      </c>
    </row>
    <row r="34" spans="1:22" x14ac:dyDescent="0.2">
      <c r="A34" t="s">
        <v>81</v>
      </c>
      <c r="B34" t="s">
        <v>103</v>
      </c>
      <c r="C34">
        <v>27241.34</v>
      </c>
      <c r="D34">
        <v>29688.16</v>
      </c>
      <c r="E34">
        <v>30853.775999999998</v>
      </c>
      <c r="F34">
        <v>31462.543000000001</v>
      </c>
      <c r="G34">
        <v>31958.937000000002</v>
      </c>
      <c r="H34">
        <v>33979.556999999993</v>
      </c>
      <c r="I34">
        <v>39916.010999999999</v>
      </c>
      <c r="J34">
        <v>43770.690999999999</v>
      </c>
      <c r="K34">
        <v>49512.686000000002</v>
      </c>
      <c r="L34">
        <v>51588.579000000005</v>
      </c>
      <c r="M34">
        <v>54063.729000000014</v>
      </c>
      <c r="N34">
        <v>56920.729999999996</v>
      </c>
      <c r="O34">
        <v>57400.979000000007</v>
      </c>
      <c r="P34">
        <v>64954.80000000001</v>
      </c>
      <c r="Q34">
        <v>69678.89</v>
      </c>
      <c r="R34">
        <v>72750.739999999976</v>
      </c>
      <c r="S34">
        <v>74532.94</v>
      </c>
      <c r="T34">
        <v>83813.090000000011</v>
      </c>
      <c r="U34">
        <v>91165.86</v>
      </c>
      <c r="V34">
        <v>100645.05</v>
      </c>
    </row>
    <row r="36" spans="1:22" x14ac:dyDescent="0.2">
      <c r="C36" cm="1">
        <f t="array" ref="C36">_xlfn.LET(_xlpm.table,Indonesia[],PRODUCT(--(_xlfn.BYCOL(_xlfn.DROP(_xlpm.table,-1,2),_xleta.SUM)=_xlfn.TAKE(_xlfn.DROP(_xlpm.table,,2),-1))))</f>
        <v>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516E-C451-42E3-988A-2B41050E5E74}">
  <dimension ref="A1:V32"/>
  <sheetViews>
    <sheetView topLeftCell="B7" workbookViewId="0">
      <selection activeCell="H20" sqref="H20"/>
    </sheetView>
  </sheetViews>
  <sheetFormatPr defaultRowHeight="14.25" x14ac:dyDescent="0.2"/>
  <cols>
    <col min="1" max="1" width="26.875" bestFit="1" customWidth="1"/>
    <col min="2" max="2" width="6.5" bestFit="1" customWidth="1"/>
    <col min="3" max="7" width="6.875" bestFit="1" customWidth="1"/>
    <col min="8" max="15" width="7.875" bestFit="1" customWidth="1"/>
    <col min="16" max="19" width="8.875" bestFit="1" customWidth="1"/>
    <col min="20" max="20" width="6.875" bestFit="1" customWidth="1"/>
    <col min="21" max="22" width="8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103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1878</v>
      </c>
      <c r="N2">
        <v>1878</v>
      </c>
      <c r="O2">
        <v>1878</v>
      </c>
      <c r="P2">
        <v>1878</v>
      </c>
      <c r="Q2">
        <v>1878</v>
      </c>
      <c r="R2">
        <v>1878</v>
      </c>
      <c r="S2">
        <v>1878</v>
      </c>
      <c r="T2">
        <v>1878</v>
      </c>
      <c r="U2">
        <v>1878</v>
      </c>
      <c r="V2">
        <v>1878</v>
      </c>
    </row>
    <row r="3" spans="1:22" x14ac:dyDescent="0.2">
      <c r="A3" t="s">
        <v>26</v>
      </c>
      <c r="B3" t="s">
        <v>103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t="s">
        <v>29</v>
      </c>
      <c r="B4" t="s">
        <v>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 t="s">
        <v>68</v>
      </c>
      <c r="B5" t="s">
        <v>103</v>
      </c>
    </row>
    <row r="6" spans="1:22" x14ac:dyDescent="0.2">
      <c r="A6" t="s">
        <v>21</v>
      </c>
      <c r="B6" t="s">
        <v>103</v>
      </c>
    </row>
    <row r="7" spans="1:22" x14ac:dyDescent="0.2">
      <c r="A7" t="s">
        <v>69</v>
      </c>
      <c r="B7" t="s">
        <v>103</v>
      </c>
    </row>
    <row r="8" spans="1:22" x14ac:dyDescent="0.2">
      <c r="A8" t="s">
        <v>70</v>
      </c>
      <c r="B8" t="s">
        <v>103</v>
      </c>
    </row>
    <row r="9" spans="1:22" x14ac:dyDescent="0.2">
      <c r="A9" t="s">
        <v>30</v>
      </c>
      <c r="B9" t="s">
        <v>103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">
      <c r="A10" t="s">
        <v>31</v>
      </c>
      <c r="B10" t="s">
        <v>103</v>
      </c>
    </row>
    <row r="11" spans="1:22" x14ac:dyDescent="0.2">
      <c r="A11" t="s">
        <v>71</v>
      </c>
      <c r="B11" t="s">
        <v>103</v>
      </c>
    </row>
    <row r="12" spans="1:22" x14ac:dyDescent="0.2">
      <c r="A12" t="s">
        <v>36</v>
      </c>
      <c r="B12" t="s">
        <v>103</v>
      </c>
    </row>
    <row r="13" spans="1:22" x14ac:dyDescent="0.2">
      <c r="A13" t="s">
        <v>72</v>
      </c>
      <c r="B13" t="s">
        <v>103</v>
      </c>
    </row>
    <row r="14" spans="1:22" x14ac:dyDescent="0.2">
      <c r="A14" t="s">
        <v>32</v>
      </c>
      <c r="B14" t="s">
        <v>103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">
      <c r="A15" t="s">
        <v>39</v>
      </c>
      <c r="B15" t="s">
        <v>103</v>
      </c>
      <c r="C15">
        <v>639.5</v>
      </c>
      <c r="D15">
        <v>639.5</v>
      </c>
      <c r="E15">
        <v>639.5</v>
      </c>
      <c r="F15">
        <v>639.5</v>
      </c>
      <c r="G15">
        <v>755.5</v>
      </c>
      <c r="H15">
        <v>1930.5</v>
      </c>
      <c r="I15">
        <v>1936.45</v>
      </c>
      <c r="J15">
        <v>2680.65</v>
      </c>
      <c r="K15">
        <v>2980.95</v>
      </c>
      <c r="L15">
        <v>3293.95</v>
      </c>
      <c r="M15">
        <v>3736.95</v>
      </c>
      <c r="N15">
        <v>4516</v>
      </c>
      <c r="O15">
        <v>5172</v>
      </c>
      <c r="P15">
        <v>5472</v>
      </c>
      <c r="Q15">
        <v>7844</v>
      </c>
      <c r="R15">
        <v>8456.14</v>
      </c>
      <c r="S15">
        <v>8910.14</v>
      </c>
      <c r="T15">
        <v>9040</v>
      </c>
      <c r="U15">
        <v>10152.64</v>
      </c>
      <c r="V15">
        <v>10162.84</v>
      </c>
    </row>
    <row r="16" spans="1:22" x14ac:dyDescent="0.2">
      <c r="A16" t="s">
        <v>41</v>
      </c>
      <c r="B16" t="s">
        <v>103</v>
      </c>
    </row>
    <row r="17" spans="1:22" x14ac:dyDescent="0.2">
      <c r="A17" t="s">
        <v>40</v>
      </c>
      <c r="B17" t="s">
        <v>103</v>
      </c>
    </row>
    <row r="18" spans="1:22" x14ac:dyDescent="0.2">
      <c r="A18" t="s">
        <v>73</v>
      </c>
      <c r="B18" t="s">
        <v>103</v>
      </c>
    </row>
    <row r="19" spans="1:22" x14ac:dyDescent="0.2">
      <c r="A19" t="s">
        <v>38</v>
      </c>
      <c r="B19" t="s">
        <v>103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t="s">
        <v>42</v>
      </c>
      <c r="B20" t="s">
        <v>103</v>
      </c>
      <c r="C20">
        <v>0.3</v>
      </c>
      <c r="D20">
        <v>0.3</v>
      </c>
      <c r="E20">
        <v>0.3</v>
      </c>
      <c r="F20">
        <v>0.3</v>
      </c>
      <c r="G20">
        <v>0.41</v>
      </c>
      <c r="H20">
        <v>0.47</v>
      </c>
      <c r="I20">
        <v>0.45</v>
      </c>
      <c r="J20">
        <v>0.5</v>
      </c>
      <c r="K20">
        <v>0.59</v>
      </c>
      <c r="L20">
        <v>0.59</v>
      </c>
      <c r="M20">
        <v>0.81</v>
      </c>
      <c r="N20">
        <v>1.05</v>
      </c>
      <c r="O20">
        <v>11.03</v>
      </c>
      <c r="P20">
        <v>32.442</v>
      </c>
      <c r="Q20">
        <v>32.442</v>
      </c>
      <c r="R20">
        <v>56</v>
      </c>
      <c r="S20">
        <v>56</v>
      </c>
      <c r="T20">
        <v>56</v>
      </c>
      <c r="U20">
        <v>83</v>
      </c>
      <c r="V20">
        <v>83</v>
      </c>
    </row>
    <row r="21" spans="1:22" x14ac:dyDescent="0.2">
      <c r="A21" t="s">
        <v>74</v>
      </c>
      <c r="B21" t="s">
        <v>103</v>
      </c>
    </row>
    <row r="22" spans="1:22" x14ac:dyDescent="0.2">
      <c r="A22" t="s">
        <v>75</v>
      </c>
      <c r="B22" t="s">
        <v>103</v>
      </c>
    </row>
    <row r="23" spans="1:22" x14ac:dyDescent="0.2">
      <c r="A23" t="s">
        <v>44</v>
      </c>
      <c r="B23" t="s">
        <v>103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">
      <c r="A24" t="s">
        <v>18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5</v>
      </c>
      <c r="M24">
        <v>40</v>
      </c>
      <c r="N24">
        <v>25</v>
      </c>
      <c r="O24">
        <v>25</v>
      </c>
      <c r="P24">
        <v>40</v>
      </c>
      <c r="Q24">
        <v>42.79</v>
      </c>
      <c r="R24">
        <v>42.79</v>
      </c>
      <c r="S24">
        <v>43</v>
      </c>
      <c r="T24">
        <v>43</v>
      </c>
      <c r="U24">
        <v>112</v>
      </c>
      <c r="V24">
        <v>112</v>
      </c>
    </row>
    <row r="25" spans="1:22" x14ac:dyDescent="0.2">
      <c r="A25" t="s">
        <v>16</v>
      </c>
      <c r="B25" t="s">
        <v>103</v>
      </c>
    </row>
    <row r="26" spans="1:22" x14ac:dyDescent="0.2">
      <c r="A26" t="s">
        <v>76</v>
      </c>
      <c r="B26" t="s">
        <v>103</v>
      </c>
    </row>
    <row r="27" spans="1:22" x14ac:dyDescent="0.2">
      <c r="A27" t="s">
        <v>77</v>
      </c>
      <c r="B27" t="s">
        <v>103</v>
      </c>
    </row>
    <row r="28" spans="1:22" x14ac:dyDescent="0.2">
      <c r="A28" t="s">
        <v>78</v>
      </c>
      <c r="B28" t="s">
        <v>103</v>
      </c>
    </row>
    <row r="29" spans="1:22" x14ac:dyDescent="0.2">
      <c r="A29" t="s">
        <v>14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">
      <c r="A30" t="s">
        <v>79</v>
      </c>
      <c r="B30" t="s">
        <v>103</v>
      </c>
    </row>
    <row r="31" spans="1:22" x14ac:dyDescent="0.2">
      <c r="A31" t="s">
        <v>80</v>
      </c>
      <c r="B31" t="s">
        <v>103</v>
      </c>
    </row>
    <row r="32" spans="1:22" x14ac:dyDescent="0.2">
      <c r="A32" t="s">
        <v>81</v>
      </c>
      <c r="B32" t="s">
        <v>103</v>
      </c>
      <c r="C32">
        <v>639.79999999999995</v>
      </c>
      <c r="D32">
        <v>639.79999999999995</v>
      </c>
      <c r="E32">
        <v>639.79999999999995</v>
      </c>
      <c r="F32">
        <v>639.79999999999995</v>
      </c>
      <c r="G32">
        <v>755.91</v>
      </c>
      <c r="H32">
        <v>1930.97</v>
      </c>
      <c r="I32">
        <v>1936.9</v>
      </c>
      <c r="J32">
        <v>2681.15</v>
      </c>
      <c r="K32">
        <v>2982.54</v>
      </c>
      <c r="L32">
        <v>3299.54</v>
      </c>
      <c r="M32">
        <v>5655.76</v>
      </c>
      <c r="N32">
        <v>6420.05</v>
      </c>
      <c r="O32">
        <v>7086.03</v>
      </c>
      <c r="P32">
        <v>7422.442</v>
      </c>
      <c r="Q32">
        <v>9797.232</v>
      </c>
      <c r="R32">
        <v>10432.93</v>
      </c>
      <c r="S32">
        <v>10887.14</v>
      </c>
      <c r="T32">
        <v>11017</v>
      </c>
      <c r="U32">
        <v>12225.64</v>
      </c>
      <c r="V32">
        <v>12235.84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EB35-737D-450C-8D7E-08803C566639}">
  <dimension ref="A1:V34"/>
  <sheetViews>
    <sheetView topLeftCell="B1" workbookViewId="0">
      <selection activeCell="H20" sqref="H20"/>
    </sheetView>
  </sheetViews>
  <sheetFormatPr defaultRowHeight="14.25" x14ac:dyDescent="0.2"/>
  <cols>
    <col min="1" max="1" width="26.875" bestFit="1" customWidth="1"/>
    <col min="2" max="2" width="6.5" bestFit="1" customWidth="1"/>
    <col min="3" max="9" width="6.875" bestFit="1" customWidth="1"/>
    <col min="10" max="11" width="8.875" bestFit="1" customWidth="1"/>
    <col min="12" max="14" width="7.875" bestFit="1" customWidth="1"/>
    <col min="15" max="15" width="9.875" bestFit="1" customWidth="1"/>
    <col min="16" max="22" width="11.875" bestFit="1" customWidth="1"/>
    <col min="23" max="23" width="11.625" bestFit="1" customWidth="1"/>
    <col min="24" max="24" width="14.125" bestFit="1" customWidth="1"/>
    <col min="25" max="25" width="11.625" bestFit="1" customWidth="1"/>
    <col min="26" max="26" width="40.12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103</v>
      </c>
      <c r="C2">
        <v>3900</v>
      </c>
      <c r="D2">
        <v>4610</v>
      </c>
      <c r="E2">
        <v>6010</v>
      </c>
      <c r="F2">
        <v>6145</v>
      </c>
      <c r="G2">
        <v>6755</v>
      </c>
      <c r="H2">
        <v>7650</v>
      </c>
      <c r="I2">
        <v>7680</v>
      </c>
      <c r="J2">
        <v>7680</v>
      </c>
      <c r="K2">
        <v>7680</v>
      </c>
      <c r="L2">
        <v>7680</v>
      </c>
      <c r="M2">
        <v>7536</v>
      </c>
      <c r="N2">
        <v>8536</v>
      </c>
      <c r="O2">
        <v>8536</v>
      </c>
      <c r="P2">
        <v>8628.2723307415126</v>
      </c>
      <c r="Q2">
        <v>10397.634743030532</v>
      </c>
      <c r="R2">
        <v>10752.154750616348</v>
      </c>
      <c r="S2">
        <v>10563.563057083255</v>
      </c>
      <c r="T2">
        <v>10658.286270434288</v>
      </c>
      <c r="U2">
        <v>10756.800000000001</v>
      </c>
      <c r="V2">
        <v>10756.800000000001</v>
      </c>
    </row>
    <row r="3" spans="1:22" x14ac:dyDescent="0.2">
      <c r="A3" t="s">
        <v>26</v>
      </c>
      <c r="B3" t="s">
        <v>103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t="s">
        <v>29</v>
      </c>
      <c r="B4" t="s">
        <v>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1010</v>
      </c>
      <c r="N4">
        <v>1010</v>
      </c>
      <c r="O4">
        <v>2010</v>
      </c>
      <c r="P4">
        <v>2031.7276692584883</v>
      </c>
      <c r="Q4">
        <v>2448.3652569694691</v>
      </c>
      <c r="R4">
        <v>2531.8452493836548</v>
      </c>
      <c r="S4">
        <v>2487.4369429167477</v>
      </c>
      <c r="T4">
        <v>0</v>
      </c>
      <c r="U4">
        <v>3366.8</v>
      </c>
      <c r="V4">
        <v>3395.3</v>
      </c>
    </row>
    <row r="5" spans="1:22" x14ac:dyDescent="0.2">
      <c r="A5" t="s">
        <v>68</v>
      </c>
      <c r="B5" t="s">
        <v>103</v>
      </c>
    </row>
    <row r="6" spans="1:22" x14ac:dyDescent="0.2">
      <c r="A6" t="s">
        <v>21</v>
      </c>
      <c r="B6" t="s">
        <v>103</v>
      </c>
    </row>
    <row r="7" spans="1:22" x14ac:dyDescent="0.2">
      <c r="A7" t="s">
        <v>69</v>
      </c>
      <c r="B7" t="s">
        <v>103</v>
      </c>
    </row>
    <row r="8" spans="1:22" x14ac:dyDescent="0.2">
      <c r="A8" t="s">
        <v>70</v>
      </c>
      <c r="B8" t="s">
        <v>103</v>
      </c>
    </row>
    <row r="9" spans="1:22" x14ac:dyDescent="0.2">
      <c r="A9" t="s">
        <v>30</v>
      </c>
      <c r="B9" t="s">
        <v>103</v>
      </c>
      <c r="C9">
        <v>818</v>
      </c>
      <c r="D9">
        <v>623</v>
      </c>
      <c r="E9">
        <v>603</v>
      </c>
      <c r="F9">
        <v>594</v>
      </c>
      <c r="G9">
        <v>659</v>
      </c>
      <c r="H9">
        <v>702</v>
      </c>
      <c r="I9">
        <v>2323</v>
      </c>
      <c r="J9">
        <v>1768</v>
      </c>
      <c r="K9">
        <v>1871</v>
      </c>
      <c r="L9">
        <v>1315.3</v>
      </c>
      <c r="M9">
        <v>1466.5</v>
      </c>
      <c r="N9">
        <v>2090.3000000000002</v>
      </c>
      <c r="O9">
        <v>1406.3700000000001</v>
      </c>
      <c r="P9">
        <v>812.5</v>
      </c>
      <c r="Q9">
        <v>813</v>
      </c>
      <c r="R9">
        <v>538.35</v>
      </c>
      <c r="S9">
        <v>351.6</v>
      </c>
      <c r="T9">
        <v>595.92999999999995</v>
      </c>
      <c r="U9">
        <v>617.11531149999996</v>
      </c>
      <c r="V9">
        <v>648.67458853010999</v>
      </c>
    </row>
    <row r="10" spans="1:22" x14ac:dyDescent="0.2">
      <c r="A10" t="s">
        <v>31</v>
      </c>
      <c r="B10" t="s">
        <v>103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t="s">
        <v>71</v>
      </c>
      <c r="B11" t="s">
        <v>103</v>
      </c>
    </row>
    <row r="12" spans="1:22" x14ac:dyDescent="0.2">
      <c r="A12" t="s">
        <v>36</v>
      </c>
      <c r="B12" t="s">
        <v>103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">
      <c r="A13" t="s">
        <v>72</v>
      </c>
      <c r="B13" t="s">
        <v>103</v>
      </c>
    </row>
    <row r="14" spans="1:22" x14ac:dyDescent="0.2">
      <c r="A14" t="s">
        <v>32</v>
      </c>
      <c r="B14" t="s">
        <v>103</v>
      </c>
      <c r="C14">
        <v>12153</v>
      </c>
      <c r="D14">
        <v>12679</v>
      </c>
      <c r="E14">
        <v>12701</v>
      </c>
      <c r="F14">
        <v>12821</v>
      </c>
      <c r="G14">
        <v>13581</v>
      </c>
      <c r="H14">
        <v>13852</v>
      </c>
      <c r="I14">
        <v>14956</v>
      </c>
      <c r="J14">
        <v>15546</v>
      </c>
      <c r="K14">
        <v>15421</v>
      </c>
      <c r="L14">
        <v>15248</v>
      </c>
      <c r="M14">
        <v>13505.6</v>
      </c>
      <c r="N14">
        <v>14074.5</v>
      </c>
      <c r="O14">
        <v>14676.98</v>
      </c>
      <c r="P14">
        <v>14852.9</v>
      </c>
      <c r="Q14">
        <v>12362.3</v>
      </c>
      <c r="R14">
        <v>12828.66</v>
      </c>
      <c r="S14">
        <v>13351.4</v>
      </c>
      <c r="T14">
        <v>13885.456</v>
      </c>
      <c r="U14">
        <v>14440.874240000001</v>
      </c>
      <c r="V14">
        <v>15018.509209600001</v>
      </c>
    </row>
    <row r="15" spans="1:22" x14ac:dyDescent="0.2">
      <c r="A15" t="s">
        <v>39</v>
      </c>
      <c r="B15" t="s">
        <v>103</v>
      </c>
      <c r="C15">
        <v>2093</v>
      </c>
      <c r="D15">
        <v>2123</v>
      </c>
      <c r="E15">
        <v>2106</v>
      </c>
      <c r="F15">
        <v>2106</v>
      </c>
      <c r="G15">
        <v>2108</v>
      </c>
      <c r="H15">
        <v>2107</v>
      </c>
      <c r="I15">
        <v>3015</v>
      </c>
      <c r="J15">
        <v>3317</v>
      </c>
      <c r="K15">
        <v>3931</v>
      </c>
      <c r="L15">
        <v>4773.4000000000005</v>
      </c>
      <c r="M15">
        <v>5716.1</v>
      </c>
      <c r="N15">
        <v>6128.1</v>
      </c>
      <c r="O15">
        <v>6354.701</v>
      </c>
      <c r="P15">
        <v>6167.9</v>
      </c>
      <c r="Q15">
        <v>6174.45</v>
      </c>
      <c r="R15">
        <v>6188.3899999999994</v>
      </c>
      <c r="S15">
        <v>6080.82</v>
      </c>
      <c r="T15">
        <v>6209.28</v>
      </c>
      <c r="U15">
        <v>6210</v>
      </c>
      <c r="V15">
        <v>6230</v>
      </c>
    </row>
    <row r="16" spans="1:22" x14ac:dyDescent="0.2">
      <c r="A16" t="s">
        <v>41</v>
      </c>
      <c r="B16" t="s">
        <v>103</v>
      </c>
    </row>
    <row r="17" spans="1:22" x14ac:dyDescent="0.2">
      <c r="A17" t="s">
        <v>40</v>
      </c>
      <c r="B17" t="s">
        <v>103</v>
      </c>
    </row>
    <row r="18" spans="1:22" x14ac:dyDescent="0.2">
      <c r="A18" t="s">
        <v>73</v>
      </c>
      <c r="B18" t="s">
        <v>103</v>
      </c>
    </row>
    <row r="19" spans="1:22" x14ac:dyDescent="0.2">
      <c r="A19" t="s">
        <v>38</v>
      </c>
      <c r="B19" t="s">
        <v>103</v>
      </c>
    </row>
    <row r="20" spans="1:22" x14ac:dyDescent="0.2">
      <c r="A20" t="s">
        <v>42</v>
      </c>
      <c r="B20" t="s">
        <v>103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32.81</v>
      </c>
      <c r="K20">
        <v>74.87</v>
      </c>
      <c r="L20">
        <v>161</v>
      </c>
      <c r="M20">
        <v>226.3</v>
      </c>
      <c r="N20">
        <v>289.60000000000002</v>
      </c>
      <c r="O20">
        <v>394.91</v>
      </c>
      <c r="P20">
        <v>797.1</v>
      </c>
      <c r="Q20">
        <v>1006</v>
      </c>
      <c r="R20">
        <v>1335</v>
      </c>
      <c r="S20">
        <v>1832.15</v>
      </c>
      <c r="T20">
        <v>2423.14</v>
      </c>
      <c r="U20">
        <v>1930</v>
      </c>
      <c r="V20">
        <v>2310</v>
      </c>
    </row>
    <row r="21" spans="1:22" x14ac:dyDescent="0.2">
      <c r="A21" t="s">
        <v>74</v>
      </c>
      <c r="B21" t="s">
        <v>103</v>
      </c>
    </row>
    <row r="22" spans="1:22" x14ac:dyDescent="0.2">
      <c r="A22" t="s">
        <v>75</v>
      </c>
      <c r="B22" t="s">
        <v>103</v>
      </c>
    </row>
    <row r="23" spans="1:22" x14ac:dyDescent="0.2">
      <c r="A23" t="s">
        <v>44</v>
      </c>
      <c r="B23" t="s">
        <v>103</v>
      </c>
    </row>
    <row r="24" spans="1:22" x14ac:dyDescent="0.2">
      <c r="A24" t="s">
        <v>18</v>
      </c>
      <c r="B24" t="s">
        <v>103</v>
      </c>
      <c r="C24">
        <v>468</v>
      </c>
      <c r="D24">
        <v>441</v>
      </c>
      <c r="E24">
        <v>546</v>
      </c>
      <c r="F24">
        <v>566</v>
      </c>
      <c r="G24">
        <v>1330</v>
      </c>
      <c r="H24">
        <v>50</v>
      </c>
      <c r="I24">
        <v>752</v>
      </c>
      <c r="J24">
        <v>784</v>
      </c>
      <c r="K24">
        <v>765</v>
      </c>
      <c r="L24">
        <v>728.80000000000007</v>
      </c>
      <c r="M24">
        <v>862.5</v>
      </c>
      <c r="N24">
        <v>742.4</v>
      </c>
      <c r="O24">
        <v>784.15</v>
      </c>
      <c r="P24">
        <v>573.94535092287219</v>
      </c>
      <c r="Q24">
        <v>482.47706416710071</v>
      </c>
      <c r="R24">
        <v>690.57649077127815</v>
      </c>
      <c r="S24">
        <v>580.69658161198879</v>
      </c>
      <c r="T24">
        <v>326.61</v>
      </c>
      <c r="U24">
        <v>819</v>
      </c>
      <c r="V24">
        <v>828.1</v>
      </c>
    </row>
    <row r="25" spans="1:22" x14ac:dyDescent="0.2">
      <c r="A25" t="s">
        <v>16</v>
      </c>
      <c r="B25" t="s">
        <v>103</v>
      </c>
    </row>
    <row r="26" spans="1:22" x14ac:dyDescent="0.2">
      <c r="A26" t="s">
        <v>76</v>
      </c>
      <c r="B26" t="s">
        <v>103</v>
      </c>
    </row>
    <row r="27" spans="1:22" x14ac:dyDescent="0.2">
      <c r="A27" t="s">
        <v>77</v>
      </c>
      <c r="B27" t="s">
        <v>103</v>
      </c>
    </row>
    <row r="28" spans="1:22" x14ac:dyDescent="0.2">
      <c r="A28" t="s">
        <v>78</v>
      </c>
      <c r="B28" t="s">
        <v>103</v>
      </c>
    </row>
    <row r="29" spans="1:22" x14ac:dyDescent="0.2">
      <c r="A29" t="s">
        <v>14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10</v>
      </c>
      <c r="J29">
        <v>24</v>
      </c>
      <c r="K29">
        <v>24</v>
      </c>
      <c r="L29">
        <v>24</v>
      </c>
      <c r="M29">
        <v>80</v>
      </c>
      <c r="N29">
        <v>80</v>
      </c>
      <c r="O29">
        <v>80</v>
      </c>
      <c r="P29">
        <v>58.554649077127813</v>
      </c>
      <c r="Q29">
        <v>49.222935832899381</v>
      </c>
      <c r="R29">
        <v>70.453509228721856</v>
      </c>
      <c r="S29">
        <v>59.243418388011342</v>
      </c>
      <c r="T29">
        <v>148.22999999999999</v>
      </c>
      <c r="U29">
        <v>81</v>
      </c>
      <c r="V29">
        <v>81.899999999999991</v>
      </c>
    </row>
    <row r="30" spans="1:22" x14ac:dyDescent="0.2">
      <c r="A30" t="s">
        <v>79</v>
      </c>
      <c r="B30" t="s">
        <v>103</v>
      </c>
    </row>
    <row r="31" spans="1:22" x14ac:dyDescent="0.2">
      <c r="A31" t="s">
        <v>80</v>
      </c>
      <c r="B31" t="s">
        <v>103</v>
      </c>
    </row>
    <row r="32" spans="1:22" x14ac:dyDescent="0.2">
      <c r="A32" t="s">
        <v>34</v>
      </c>
      <c r="B32" t="s">
        <v>103</v>
      </c>
    </row>
    <row r="33" spans="1:22" x14ac:dyDescent="0.2">
      <c r="A33" t="s">
        <v>43</v>
      </c>
      <c r="B33" t="s">
        <v>103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">
      <c r="A34" t="s">
        <v>81</v>
      </c>
      <c r="B34" t="s">
        <v>103</v>
      </c>
      <c r="C34">
        <v>19432</v>
      </c>
      <c r="D34">
        <v>20476</v>
      </c>
      <c r="E34">
        <v>21966</v>
      </c>
      <c r="F34">
        <v>22232</v>
      </c>
      <c r="G34">
        <v>24433</v>
      </c>
      <c r="H34">
        <v>24361</v>
      </c>
      <c r="I34">
        <v>28736</v>
      </c>
      <c r="J34">
        <v>29151.81</v>
      </c>
      <c r="K34">
        <v>29766.87</v>
      </c>
      <c r="L34">
        <v>29930.5</v>
      </c>
      <c r="M34">
        <v>30402.999999999996</v>
      </c>
      <c r="N34">
        <v>32950.9</v>
      </c>
      <c r="O34">
        <v>34243.111000000004</v>
      </c>
      <c r="P34">
        <v>33922.9</v>
      </c>
      <c r="Q34">
        <v>33733.449999999997</v>
      </c>
      <c r="R34">
        <v>34935.43</v>
      </c>
      <c r="S34">
        <v>35306.910000000003</v>
      </c>
      <c r="T34">
        <v>34246.932270434292</v>
      </c>
      <c r="U34">
        <v>38221.589551500001</v>
      </c>
      <c r="V34">
        <v>39269.283798130113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BC6-42C6-4B16-A06F-279959FB5B32}">
  <dimension ref="A1:V33"/>
  <sheetViews>
    <sheetView topLeftCell="B1" workbookViewId="0">
      <selection activeCell="H20" sqref="H20"/>
    </sheetView>
  </sheetViews>
  <sheetFormatPr defaultRowHeight="14.25" x14ac:dyDescent="0.2"/>
  <cols>
    <col min="1" max="1" width="32.125" bestFit="1" customWidth="1"/>
    <col min="2" max="2" width="6.5" bestFit="1" customWidth="1"/>
    <col min="3" max="7" width="6.875" bestFit="1" customWidth="1"/>
    <col min="8" max="15" width="7.875" bestFit="1" customWidth="1"/>
    <col min="16" max="17" width="11.875" bestFit="1" customWidth="1"/>
    <col min="18" max="22" width="8.875" bestFit="1" customWidth="1"/>
    <col min="23" max="23" width="11.625" bestFit="1" customWidth="1"/>
    <col min="24" max="24" width="13.625" bestFit="1" customWidth="1"/>
    <col min="25" max="25" width="11.625" bestFit="1" customWidth="1"/>
    <col min="26" max="26" width="40.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103</v>
      </c>
      <c r="C2">
        <v>120</v>
      </c>
      <c r="D2">
        <v>120</v>
      </c>
      <c r="E2">
        <v>120</v>
      </c>
      <c r="F2">
        <v>120</v>
      </c>
      <c r="G2">
        <v>120</v>
      </c>
      <c r="H2">
        <v>120</v>
      </c>
      <c r="I2">
        <v>120</v>
      </c>
      <c r="J2">
        <v>120</v>
      </c>
      <c r="K2">
        <v>120</v>
      </c>
      <c r="L2">
        <v>120</v>
      </c>
      <c r="M2">
        <v>120</v>
      </c>
      <c r="N2">
        <v>120</v>
      </c>
      <c r="O2">
        <v>120</v>
      </c>
      <c r="P2">
        <v>120</v>
      </c>
      <c r="Q2">
        <v>120</v>
      </c>
      <c r="R2">
        <v>120</v>
      </c>
      <c r="S2">
        <v>120</v>
      </c>
      <c r="T2">
        <v>138</v>
      </c>
      <c r="U2">
        <v>190</v>
      </c>
      <c r="V2">
        <v>190</v>
      </c>
    </row>
    <row r="3" spans="1:22" x14ac:dyDescent="0.2">
      <c r="A3" t="s">
        <v>26</v>
      </c>
      <c r="B3" t="s">
        <v>103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t="s">
        <v>29</v>
      </c>
      <c r="B4" t="s">
        <v>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 t="s">
        <v>68</v>
      </c>
      <c r="B5" t="s">
        <v>103</v>
      </c>
    </row>
    <row r="6" spans="1:22" x14ac:dyDescent="0.2">
      <c r="A6" t="s">
        <v>21</v>
      </c>
      <c r="B6" t="s">
        <v>103</v>
      </c>
    </row>
    <row r="7" spans="1:22" x14ac:dyDescent="0.2">
      <c r="A7" t="s">
        <v>69</v>
      </c>
      <c r="B7" t="s">
        <v>103</v>
      </c>
    </row>
    <row r="8" spans="1:22" x14ac:dyDescent="0.2">
      <c r="A8" t="s">
        <v>70</v>
      </c>
      <c r="B8" t="s">
        <v>103</v>
      </c>
    </row>
    <row r="9" spans="1:22" x14ac:dyDescent="0.2">
      <c r="A9" t="s">
        <v>30</v>
      </c>
      <c r="B9" t="s">
        <v>103</v>
      </c>
      <c r="C9">
        <v>68</v>
      </c>
      <c r="D9">
        <v>70</v>
      </c>
      <c r="E9">
        <v>70</v>
      </c>
      <c r="F9">
        <v>57</v>
      </c>
      <c r="G9">
        <v>55</v>
      </c>
      <c r="H9">
        <v>63.02</v>
      </c>
      <c r="I9">
        <v>63.02</v>
      </c>
      <c r="J9">
        <v>78</v>
      </c>
      <c r="K9">
        <v>85.14</v>
      </c>
      <c r="L9">
        <v>89.2</v>
      </c>
      <c r="M9">
        <v>94.98</v>
      </c>
      <c r="N9">
        <v>94.3</v>
      </c>
      <c r="O9">
        <v>91.9</v>
      </c>
      <c r="P9">
        <v>25</v>
      </c>
      <c r="Q9">
        <v>25</v>
      </c>
      <c r="R9">
        <v>116</v>
      </c>
      <c r="S9">
        <v>116.739</v>
      </c>
      <c r="T9">
        <v>180.739</v>
      </c>
      <c r="U9">
        <v>180.739</v>
      </c>
      <c r="V9">
        <v>180.739</v>
      </c>
    </row>
    <row r="10" spans="1:22" x14ac:dyDescent="0.2">
      <c r="A10" t="s">
        <v>31</v>
      </c>
      <c r="B10" t="s">
        <v>103</v>
      </c>
    </row>
    <row r="11" spans="1:22" x14ac:dyDescent="0.2">
      <c r="A11" t="s">
        <v>71</v>
      </c>
      <c r="B11" t="s">
        <v>103</v>
      </c>
    </row>
    <row r="12" spans="1:22" x14ac:dyDescent="0.2">
      <c r="A12" t="s">
        <v>37</v>
      </c>
      <c r="B12" t="s">
        <v>103</v>
      </c>
      <c r="C12">
        <v>285.3</v>
      </c>
      <c r="D12">
        <v>252.3</v>
      </c>
      <c r="E12">
        <v>253.3</v>
      </c>
      <c r="F12">
        <v>253.3</v>
      </c>
      <c r="G12">
        <v>244.3</v>
      </c>
      <c r="H12">
        <v>244.2</v>
      </c>
      <c r="I12">
        <v>244.2</v>
      </c>
      <c r="J12">
        <v>244.3</v>
      </c>
      <c r="K12">
        <v>385.27</v>
      </c>
      <c r="L12">
        <v>577.99</v>
      </c>
      <c r="M12">
        <v>785.44</v>
      </c>
      <c r="N12">
        <v>630.25</v>
      </c>
      <c r="O12">
        <v>884.65</v>
      </c>
      <c r="P12">
        <v>864.27071924914958</v>
      </c>
      <c r="Q12">
        <v>1045.0620431737166</v>
      </c>
      <c r="R12">
        <v>2116.3139999999999</v>
      </c>
      <c r="S12">
        <v>2429.819</v>
      </c>
      <c r="T12">
        <v>2195.3040000000001</v>
      </c>
      <c r="U12">
        <v>1124.8</v>
      </c>
      <c r="V12">
        <v>1124.8</v>
      </c>
    </row>
    <row r="13" spans="1:22" x14ac:dyDescent="0.2">
      <c r="A13" t="s">
        <v>72</v>
      </c>
      <c r="B13" t="s">
        <v>103</v>
      </c>
    </row>
    <row r="14" spans="1:22" x14ac:dyDescent="0.2">
      <c r="A14" t="s">
        <v>33</v>
      </c>
      <c r="B14" t="s">
        <v>103</v>
      </c>
      <c r="C14">
        <v>470.7</v>
      </c>
      <c r="D14">
        <v>470.7</v>
      </c>
      <c r="E14">
        <v>470.7</v>
      </c>
      <c r="F14">
        <v>470.7</v>
      </c>
      <c r="G14">
        <v>470.7</v>
      </c>
      <c r="H14">
        <v>470.7</v>
      </c>
      <c r="I14">
        <v>470.7</v>
      </c>
      <c r="J14">
        <v>470.7</v>
      </c>
      <c r="K14">
        <v>470.7</v>
      </c>
      <c r="L14">
        <v>700.7</v>
      </c>
      <c r="M14">
        <v>700.7</v>
      </c>
      <c r="N14">
        <v>700.7</v>
      </c>
      <c r="O14">
        <v>700.7</v>
      </c>
      <c r="P14">
        <v>807.94567488635619</v>
      </c>
      <c r="Q14">
        <v>976.95471912278776</v>
      </c>
      <c r="R14">
        <v>1174.6400000000001</v>
      </c>
      <c r="S14">
        <v>1174.6400000000001</v>
      </c>
      <c r="T14">
        <v>1333.64</v>
      </c>
      <c r="U14">
        <v>1033.6000000000001</v>
      </c>
      <c r="V14">
        <v>1033.6000000000001</v>
      </c>
    </row>
    <row r="15" spans="1:22" x14ac:dyDescent="0.2">
      <c r="A15" t="s">
        <v>35</v>
      </c>
      <c r="B15" t="s">
        <v>103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80.23</v>
      </c>
      <c r="L15">
        <v>132.22999999999999</v>
      </c>
      <c r="M15">
        <v>159.22999999999999</v>
      </c>
      <c r="N15">
        <v>589.54999999999995</v>
      </c>
      <c r="O15">
        <v>589.54999999999995</v>
      </c>
      <c r="P15">
        <v>679.78360586449446</v>
      </c>
      <c r="Q15">
        <v>821.98323770349589</v>
      </c>
      <c r="S15">
        <v>0</v>
      </c>
      <c r="T15">
        <v>0</v>
      </c>
      <c r="U15">
        <v>881.59999999999991</v>
      </c>
      <c r="V15">
        <v>881.59999999999991</v>
      </c>
    </row>
    <row r="16" spans="1:22" x14ac:dyDescent="0.2">
      <c r="A16" t="s">
        <v>39</v>
      </c>
      <c r="B16" t="s">
        <v>103</v>
      </c>
      <c r="C16">
        <v>746</v>
      </c>
      <c r="D16">
        <v>771</v>
      </c>
      <c r="E16">
        <v>803</v>
      </c>
      <c r="F16">
        <v>947</v>
      </c>
      <c r="G16">
        <v>1654</v>
      </c>
      <c r="H16">
        <v>2559.34</v>
      </c>
      <c r="I16">
        <v>2693.34</v>
      </c>
      <c r="J16">
        <v>2813.33</v>
      </c>
      <c r="K16">
        <v>3004</v>
      </c>
      <c r="L16">
        <v>3185.17</v>
      </c>
      <c r="M16">
        <v>3215.17</v>
      </c>
      <c r="N16">
        <v>3255.17</v>
      </c>
      <c r="O16">
        <v>3255.17</v>
      </c>
      <c r="P16">
        <v>3304</v>
      </c>
      <c r="Q16">
        <v>3304</v>
      </c>
      <c r="R16">
        <v>3225</v>
      </c>
      <c r="S16">
        <v>3225</v>
      </c>
      <c r="T16">
        <v>3225</v>
      </c>
      <c r="U16">
        <v>3270</v>
      </c>
      <c r="V16">
        <v>3270</v>
      </c>
    </row>
    <row r="17" spans="1:22" x14ac:dyDescent="0.2">
      <c r="A17" t="s">
        <v>41</v>
      </c>
      <c r="B17" t="s">
        <v>103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37.374000000000002</v>
      </c>
      <c r="S17">
        <v>37.374000000000002</v>
      </c>
      <c r="T17">
        <v>37.374000000000002</v>
      </c>
      <c r="U17">
        <v>37.374000000000002</v>
      </c>
      <c r="V17">
        <v>37.374000000000002</v>
      </c>
    </row>
    <row r="18" spans="1:22" x14ac:dyDescent="0.2">
      <c r="A18" t="s">
        <v>40</v>
      </c>
      <c r="B18" t="s">
        <v>103</v>
      </c>
    </row>
    <row r="19" spans="1:22" x14ac:dyDescent="0.2">
      <c r="A19" t="s">
        <v>73</v>
      </c>
      <c r="B19" t="s">
        <v>103</v>
      </c>
    </row>
    <row r="20" spans="1:22" x14ac:dyDescent="0.2">
      <c r="A20" t="s">
        <v>38</v>
      </c>
      <c r="B20" t="s">
        <v>103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">
      <c r="A21" t="s">
        <v>42</v>
      </c>
      <c r="B21" t="s">
        <v>103</v>
      </c>
      <c r="C21">
        <v>0</v>
      </c>
      <c r="D21">
        <v>0</v>
      </c>
      <c r="E21">
        <v>0</v>
      </c>
      <c r="F21">
        <v>0</v>
      </c>
      <c r="G21">
        <v>0</v>
      </c>
      <c r="H21">
        <v>3.7</v>
      </c>
      <c r="I21">
        <v>3.7</v>
      </c>
      <c r="J21">
        <v>4.68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88</v>
      </c>
      <c r="R21">
        <v>41</v>
      </c>
      <c r="S21">
        <v>70.5</v>
      </c>
      <c r="T21">
        <v>181.16900000000001</v>
      </c>
      <c r="U21">
        <v>180</v>
      </c>
      <c r="V21">
        <v>220</v>
      </c>
    </row>
    <row r="22" spans="1:22" x14ac:dyDescent="0.2">
      <c r="A22" t="s">
        <v>74</v>
      </c>
      <c r="B22" t="s">
        <v>103</v>
      </c>
    </row>
    <row r="23" spans="1:22" x14ac:dyDescent="0.2">
      <c r="A23" t="s">
        <v>75</v>
      </c>
      <c r="B23" t="s">
        <v>103</v>
      </c>
    </row>
    <row r="24" spans="1:22" x14ac:dyDescent="0.2">
      <c r="A24" t="s">
        <v>44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0.02</v>
      </c>
      <c r="I24">
        <v>0.02</v>
      </c>
      <c r="J24">
        <v>0.02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">
      <c r="A25" t="s">
        <v>18</v>
      </c>
      <c r="B25" t="s">
        <v>103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">
      <c r="A26" t="s">
        <v>16</v>
      </c>
      <c r="B26" t="s">
        <v>103</v>
      </c>
    </row>
    <row r="27" spans="1:22" x14ac:dyDescent="0.2">
      <c r="A27" t="s">
        <v>76</v>
      </c>
      <c r="B27" t="s">
        <v>103</v>
      </c>
    </row>
    <row r="28" spans="1:22" x14ac:dyDescent="0.2">
      <c r="A28" t="s">
        <v>77</v>
      </c>
      <c r="B28" t="s">
        <v>103</v>
      </c>
    </row>
    <row r="29" spans="1:22" x14ac:dyDescent="0.2">
      <c r="A29" t="s">
        <v>78</v>
      </c>
      <c r="B29" t="s">
        <v>103</v>
      </c>
    </row>
    <row r="30" spans="1:22" x14ac:dyDescent="0.2">
      <c r="A30" t="s">
        <v>14</v>
      </c>
      <c r="B30" t="s">
        <v>103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">
      <c r="A31" t="s">
        <v>79</v>
      </c>
      <c r="B31" t="s">
        <v>103</v>
      </c>
    </row>
    <row r="32" spans="1:22" x14ac:dyDescent="0.2">
      <c r="A32" t="s">
        <v>80</v>
      </c>
      <c r="B32" t="s">
        <v>103</v>
      </c>
    </row>
    <row r="33" spans="1:22" x14ac:dyDescent="0.2">
      <c r="A33" t="s">
        <v>81</v>
      </c>
      <c r="B33" t="s">
        <v>103</v>
      </c>
      <c r="C33">
        <v>1690</v>
      </c>
      <c r="D33">
        <v>1684</v>
      </c>
      <c r="E33">
        <v>1717</v>
      </c>
      <c r="F33">
        <v>1848</v>
      </c>
      <c r="G33">
        <v>2544</v>
      </c>
      <c r="H33">
        <v>3460.98</v>
      </c>
      <c r="I33">
        <v>3594.98</v>
      </c>
      <c r="J33">
        <v>3731.0299999999997</v>
      </c>
      <c r="K33">
        <v>4145.3399999999992</v>
      </c>
      <c r="L33">
        <v>4805.29</v>
      </c>
      <c r="M33">
        <v>5075.5199999999995</v>
      </c>
      <c r="N33">
        <v>5389.97</v>
      </c>
      <c r="O33">
        <v>5641.97</v>
      </c>
      <c r="P33">
        <v>5801</v>
      </c>
      <c r="Q33">
        <v>6386</v>
      </c>
      <c r="R33">
        <v>6830.3279999999995</v>
      </c>
      <c r="S33">
        <v>7174.0720000000001</v>
      </c>
      <c r="T33">
        <v>7291.2259999999997</v>
      </c>
      <c r="U33">
        <v>6898.1129999999994</v>
      </c>
      <c r="V33">
        <v>6938.1129999999994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ED9F-4188-4F97-9182-7A3596F015C7}">
  <dimension ref="A1:V32"/>
  <sheetViews>
    <sheetView topLeftCell="D1" workbookViewId="0">
      <selection activeCell="H20" sqref="H20"/>
    </sheetView>
  </sheetViews>
  <sheetFormatPr defaultRowHeight="14.25" x14ac:dyDescent="0.2"/>
  <cols>
    <col min="1" max="1" width="26.875" bestFit="1" customWidth="1"/>
    <col min="2" max="2" width="6.5" bestFit="1" customWidth="1"/>
    <col min="3" max="7" width="9.875" bestFit="1" customWidth="1"/>
    <col min="8" max="11" width="8.875" bestFit="1" customWidth="1"/>
    <col min="12" max="15" width="9.875" bestFit="1" customWidth="1"/>
    <col min="16" max="16" width="10.875" bestFit="1" customWidth="1"/>
    <col min="17" max="17" width="9.875" bestFit="1" customWidth="1"/>
    <col min="18" max="18" width="11.875" bestFit="1" customWidth="1"/>
    <col min="19" max="19" width="9.875" bestFit="1" customWidth="1"/>
    <col min="20" max="21" width="10.875" bestFit="1" customWidth="1"/>
    <col min="22" max="22" width="9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103</v>
      </c>
      <c r="C2">
        <v>3967.1</v>
      </c>
      <c r="D2">
        <v>4177.1000000000004</v>
      </c>
      <c r="E2">
        <v>4213.1000000000004</v>
      </c>
      <c r="F2">
        <v>4213.1000000000004</v>
      </c>
      <c r="G2">
        <v>4276.6000000000004</v>
      </c>
      <c r="H2">
        <v>4866.6000000000004</v>
      </c>
      <c r="I2">
        <v>4916.6000000000004</v>
      </c>
      <c r="J2">
        <v>5568.2</v>
      </c>
      <c r="K2">
        <v>5568.2</v>
      </c>
      <c r="L2">
        <v>5708.2</v>
      </c>
      <c r="M2">
        <v>5962.95</v>
      </c>
      <c r="N2">
        <v>7418.6500000000005</v>
      </c>
      <c r="O2">
        <v>8048.95</v>
      </c>
      <c r="P2">
        <v>8843.65</v>
      </c>
      <c r="Q2">
        <v>10417.15</v>
      </c>
      <c r="R2">
        <v>10943.9</v>
      </c>
      <c r="S2">
        <v>11668.9</v>
      </c>
      <c r="T2">
        <v>12428.185999999998</v>
      </c>
      <c r="U2">
        <v>12406.335999999998</v>
      </c>
      <c r="V2">
        <v>13006.435999999996</v>
      </c>
    </row>
    <row r="3" spans="1:22" x14ac:dyDescent="0.2">
      <c r="A3" t="s">
        <v>26</v>
      </c>
      <c r="B3" t="s">
        <v>103</v>
      </c>
    </row>
    <row r="4" spans="1:22" x14ac:dyDescent="0.2">
      <c r="A4" t="s">
        <v>29</v>
      </c>
      <c r="B4" t="s">
        <v>103</v>
      </c>
    </row>
    <row r="5" spans="1:22" x14ac:dyDescent="0.2">
      <c r="A5" t="s">
        <v>68</v>
      </c>
      <c r="B5" t="s">
        <v>103</v>
      </c>
    </row>
    <row r="6" spans="1:22" x14ac:dyDescent="0.2">
      <c r="A6" t="s">
        <v>21</v>
      </c>
      <c r="B6" t="s">
        <v>103</v>
      </c>
    </row>
    <row r="7" spans="1:22" x14ac:dyDescent="0.2">
      <c r="A7" t="s">
        <v>69</v>
      </c>
      <c r="B7" t="s">
        <v>103</v>
      </c>
    </row>
    <row r="8" spans="1:22" x14ac:dyDescent="0.2">
      <c r="A8" t="s">
        <v>70</v>
      </c>
      <c r="B8" t="s">
        <v>103</v>
      </c>
    </row>
    <row r="9" spans="1:22" x14ac:dyDescent="0.2">
      <c r="A9" t="s">
        <v>30</v>
      </c>
      <c r="B9" t="s">
        <v>103</v>
      </c>
      <c r="C9">
        <v>3662.6040000000003</v>
      </c>
      <c r="D9">
        <v>3602.0039999999999</v>
      </c>
      <c r="E9">
        <v>3616.1040000000003</v>
      </c>
      <c r="F9">
        <v>3353.114</v>
      </c>
      <c r="G9">
        <v>3193.3340000000003</v>
      </c>
      <c r="H9">
        <v>3193.33</v>
      </c>
      <c r="I9">
        <v>2994.114</v>
      </c>
      <c r="J9">
        <v>3073.5840000000003</v>
      </c>
      <c r="K9">
        <v>3353.4839999999999</v>
      </c>
      <c r="L9">
        <v>3476.3240000000001</v>
      </c>
      <c r="M9">
        <v>3610.29</v>
      </c>
      <c r="N9">
        <v>3615.6640000000002</v>
      </c>
      <c r="O9">
        <v>4153.2129999999997</v>
      </c>
      <c r="P9">
        <v>4291.9677999999994</v>
      </c>
      <c r="Q9">
        <v>4262.4189999999999</v>
      </c>
      <c r="R9">
        <v>4236.561999999999</v>
      </c>
      <c r="S9">
        <v>3847.1620000000003</v>
      </c>
      <c r="T9">
        <v>3834.192</v>
      </c>
      <c r="U9">
        <v>3736.5119999999997</v>
      </c>
      <c r="V9">
        <v>3448.2759999999998</v>
      </c>
    </row>
    <row r="10" spans="1:22" x14ac:dyDescent="0.2">
      <c r="A10" t="s">
        <v>31</v>
      </c>
      <c r="B10" t="s">
        <v>103</v>
      </c>
    </row>
    <row r="11" spans="1:22" x14ac:dyDescent="0.2">
      <c r="A11" t="s">
        <v>71</v>
      </c>
      <c r="B11" t="s">
        <v>103</v>
      </c>
    </row>
    <row r="12" spans="1:22" x14ac:dyDescent="0.2">
      <c r="A12" t="s">
        <v>36</v>
      </c>
      <c r="B12" t="s">
        <v>103</v>
      </c>
    </row>
    <row r="13" spans="1:22" x14ac:dyDescent="0.2">
      <c r="A13" t="s">
        <v>72</v>
      </c>
      <c r="B13" t="s">
        <v>103</v>
      </c>
    </row>
    <row r="14" spans="1:22" x14ac:dyDescent="0.2">
      <c r="A14" t="s">
        <v>32</v>
      </c>
      <c r="B14" t="s">
        <v>103</v>
      </c>
      <c r="C14">
        <v>2763</v>
      </c>
      <c r="D14">
        <v>2763</v>
      </c>
      <c r="E14">
        <v>2834</v>
      </c>
      <c r="F14">
        <v>2831</v>
      </c>
      <c r="G14">
        <v>2831</v>
      </c>
      <c r="H14">
        <v>2861</v>
      </c>
      <c r="I14">
        <v>2861</v>
      </c>
      <c r="J14">
        <v>2862</v>
      </c>
      <c r="K14">
        <v>2862.02</v>
      </c>
      <c r="L14">
        <v>2862.02</v>
      </c>
      <c r="M14">
        <v>2862.02</v>
      </c>
      <c r="N14">
        <v>3431.12</v>
      </c>
      <c r="O14">
        <v>3446.52</v>
      </c>
      <c r="P14">
        <v>3452.5</v>
      </c>
      <c r="Q14">
        <v>3452.54</v>
      </c>
      <c r="R14">
        <v>3452.54</v>
      </c>
      <c r="S14">
        <v>3452.54</v>
      </c>
      <c r="T14">
        <v>3731.5880000000002</v>
      </c>
      <c r="U14">
        <v>3731.5880000000002</v>
      </c>
      <c r="V14">
        <v>3731.5880000000002</v>
      </c>
    </row>
    <row r="15" spans="1:22" x14ac:dyDescent="0.2">
      <c r="A15" t="s">
        <v>39</v>
      </c>
      <c r="B15" t="s">
        <v>103</v>
      </c>
      <c r="C15">
        <v>3222.12</v>
      </c>
      <c r="D15">
        <v>3256.7200000000003</v>
      </c>
      <c r="E15">
        <v>3292.9300000000003</v>
      </c>
      <c r="F15">
        <v>3291.4700000000003</v>
      </c>
      <c r="G15">
        <v>3291.35</v>
      </c>
      <c r="H15">
        <v>3399.55</v>
      </c>
      <c r="I15">
        <v>3490.7339999999999</v>
      </c>
      <c r="J15">
        <v>3520.8139999999999</v>
      </c>
      <c r="K15">
        <v>3520.8139999999999</v>
      </c>
      <c r="L15">
        <v>3543.2620000000002</v>
      </c>
      <c r="M15">
        <v>3600.462</v>
      </c>
      <c r="N15">
        <v>3617.5419999999999</v>
      </c>
      <c r="O15">
        <v>3627.2449999999999</v>
      </c>
      <c r="P15">
        <v>3701.0720000000001</v>
      </c>
      <c r="Q15">
        <v>3759.817</v>
      </c>
      <c r="R15">
        <v>3779.3069990000004</v>
      </c>
      <c r="S15">
        <v>3752.3679999999999</v>
      </c>
      <c r="T15">
        <v>3744.8449999999993</v>
      </c>
      <c r="U15">
        <v>3799.4619999999995</v>
      </c>
      <c r="V15">
        <v>3836.0269999999996</v>
      </c>
    </row>
    <row r="16" spans="1:22" x14ac:dyDescent="0.2">
      <c r="A16" t="s">
        <v>41</v>
      </c>
      <c r="B16" t="s">
        <v>103</v>
      </c>
    </row>
    <row r="17" spans="1:22" x14ac:dyDescent="0.2">
      <c r="A17" t="s">
        <v>40</v>
      </c>
      <c r="B17" t="s">
        <v>103</v>
      </c>
    </row>
    <row r="18" spans="1:22" x14ac:dyDescent="0.2">
      <c r="A18" t="s">
        <v>73</v>
      </c>
      <c r="B18" t="s">
        <v>103</v>
      </c>
    </row>
    <row r="19" spans="1:22" x14ac:dyDescent="0.2">
      <c r="A19" t="s">
        <v>38</v>
      </c>
      <c r="B19" t="s">
        <v>103</v>
      </c>
      <c r="C19">
        <v>1978.31</v>
      </c>
      <c r="D19">
        <v>1978.31</v>
      </c>
      <c r="E19">
        <v>1958.38</v>
      </c>
      <c r="F19">
        <v>1958.38</v>
      </c>
      <c r="G19">
        <v>1953.24</v>
      </c>
      <c r="H19">
        <v>1965.83</v>
      </c>
      <c r="I19">
        <v>1783.25</v>
      </c>
      <c r="J19">
        <v>1847.69</v>
      </c>
      <c r="K19">
        <v>1867.69</v>
      </c>
      <c r="L19">
        <v>1917.69</v>
      </c>
      <c r="M19">
        <v>1917.19</v>
      </c>
      <c r="N19">
        <v>1915.56</v>
      </c>
      <c r="O19">
        <v>1915.83</v>
      </c>
      <c r="P19">
        <v>1943.9560000000001</v>
      </c>
      <c r="Q19">
        <v>1928.07</v>
      </c>
      <c r="R19">
        <v>1928.07</v>
      </c>
      <c r="S19">
        <v>1928.07</v>
      </c>
      <c r="T19">
        <v>1951.739</v>
      </c>
      <c r="U19">
        <v>1951.739</v>
      </c>
      <c r="V19">
        <v>1951.739</v>
      </c>
    </row>
    <row r="20" spans="1:22" x14ac:dyDescent="0.2">
      <c r="A20" t="s">
        <v>42</v>
      </c>
      <c r="B20" t="s">
        <v>103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23</v>
      </c>
      <c r="M20">
        <v>164.67000000000002</v>
      </c>
      <c r="N20">
        <v>764.89</v>
      </c>
      <c r="O20">
        <v>885.40200000000004</v>
      </c>
      <c r="P20">
        <v>896.15499999999997</v>
      </c>
      <c r="Q20">
        <v>921.11500000000001</v>
      </c>
      <c r="R20">
        <v>1019.2524000000001</v>
      </c>
      <c r="S20">
        <v>1317</v>
      </c>
      <c r="T20">
        <v>1529.7133999999999</v>
      </c>
      <c r="U20">
        <v>1653.3013999999998</v>
      </c>
      <c r="V20">
        <v>2710.1660000000002</v>
      </c>
    </row>
    <row r="21" spans="1:22" x14ac:dyDescent="0.2">
      <c r="A21" t="s">
        <v>74</v>
      </c>
      <c r="B21" t="s">
        <v>103</v>
      </c>
    </row>
    <row r="22" spans="1:22" x14ac:dyDescent="0.2">
      <c r="A22" t="s">
        <v>75</v>
      </c>
      <c r="B22" t="s">
        <v>103</v>
      </c>
    </row>
    <row r="23" spans="1:22" x14ac:dyDescent="0.2">
      <c r="A23" t="s">
        <v>44</v>
      </c>
      <c r="B23" t="s">
        <v>103</v>
      </c>
      <c r="C23">
        <v>25</v>
      </c>
      <c r="D23">
        <v>25</v>
      </c>
      <c r="E23">
        <v>25</v>
      </c>
      <c r="F23">
        <v>33</v>
      </c>
      <c r="G23">
        <v>33</v>
      </c>
      <c r="H23">
        <v>33</v>
      </c>
      <c r="I23">
        <v>33</v>
      </c>
      <c r="J23">
        <v>33</v>
      </c>
      <c r="K23">
        <v>33</v>
      </c>
      <c r="L23">
        <v>282.90000000000003</v>
      </c>
      <c r="M23">
        <v>426.90000000000003</v>
      </c>
      <c r="N23">
        <v>426.90000000000003</v>
      </c>
      <c r="O23">
        <v>426.90000000000003</v>
      </c>
      <c r="P23">
        <v>426.9</v>
      </c>
      <c r="Q23">
        <v>426.9</v>
      </c>
      <c r="R23">
        <v>442.9</v>
      </c>
      <c r="S23">
        <v>426.9</v>
      </c>
      <c r="T23">
        <v>426.9</v>
      </c>
      <c r="U23">
        <v>426.9</v>
      </c>
      <c r="V23">
        <v>426.9</v>
      </c>
    </row>
    <row r="24" spans="1:22" x14ac:dyDescent="0.2">
      <c r="A24" t="s">
        <v>18</v>
      </c>
      <c r="B24" t="s">
        <v>103</v>
      </c>
      <c r="C24">
        <v>30</v>
      </c>
      <c r="D24">
        <v>30</v>
      </c>
      <c r="E24">
        <v>30</v>
      </c>
      <c r="F24">
        <v>30</v>
      </c>
      <c r="G24">
        <v>30</v>
      </c>
      <c r="H24">
        <v>38</v>
      </c>
      <c r="I24">
        <v>82.762</v>
      </c>
      <c r="J24">
        <v>118.672</v>
      </c>
      <c r="K24">
        <v>118.672</v>
      </c>
      <c r="L24">
        <v>130.672</v>
      </c>
      <c r="M24">
        <v>220.672</v>
      </c>
      <c r="N24">
        <v>232.672</v>
      </c>
      <c r="O24">
        <v>223.71600000000001</v>
      </c>
      <c r="P24">
        <v>258.476</v>
      </c>
      <c r="Q24">
        <v>363.39099999999996</v>
      </c>
      <c r="R24">
        <v>483.291</v>
      </c>
      <c r="S24">
        <v>489.291</v>
      </c>
      <c r="T24">
        <v>610.8309999999999</v>
      </c>
      <c r="U24">
        <v>585.12599999999998</v>
      </c>
      <c r="V24">
        <v>595.02599999999995</v>
      </c>
    </row>
    <row r="25" spans="1:22" x14ac:dyDescent="0.2">
      <c r="A25" t="s">
        <v>16</v>
      </c>
      <c r="B25" t="s">
        <v>103</v>
      </c>
    </row>
    <row r="26" spans="1:22" x14ac:dyDescent="0.2">
      <c r="A26" t="s">
        <v>76</v>
      </c>
      <c r="B26" t="s">
        <v>103</v>
      </c>
    </row>
    <row r="27" spans="1:22" x14ac:dyDescent="0.2">
      <c r="A27" t="s">
        <v>77</v>
      </c>
      <c r="B27" t="s">
        <v>103</v>
      </c>
    </row>
    <row r="28" spans="1:22" x14ac:dyDescent="0.2">
      <c r="A28" t="s">
        <v>78</v>
      </c>
      <c r="B28" t="s">
        <v>103</v>
      </c>
    </row>
    <row r="29" spans="1:22" x14ac:dyDescent="0.2">
      <c r="A29" t="s">
        <v>14</v>
      </c>
      <c r="B29" t="s">
        <v>103</v>
      </c>
    </row>
    <row r="30" spans="1:22" x14ac:dyDescent="0.2">
      <c r="A30" t="s">
        <v>79</v>
      </c>
      <c r="B30" t="s">
        <v>103</v>
      </c>
    </row>
    <row r="31" spans="1:22" x14ac:dyDescent="0.2">
      <c r="A31" t="s">
        <v>80</v>
      </c>
      <c r="B31" t="s">
        <v>103</v>
      </c>
    </row>
    <row r="32" spans="1:22" x14ac:dyDescent="0.2">
      <c r="A32" t="s">
        <v>81</v>
      </c>
      <c r="B32" t="s">
        <v>103</v>
      </c>
      <c r="C32">
        <v>15649.134</v>
      </c>
      <c r="D32">
        <v>15833.134</v>
      </c>
      <c r="E32">
        <v>15970.514000000003</v>
      </c>
      <c r="F32">
        <v>15711.064000000002</v>
      </c>
      <c r="G32">
        <v>15609.524000000001</v>
      </c>
      <c r="H32">
        <v>16358.31</v>
      </c>
      <c r="I32">
        <v>16162.460000000001</v>
      </c>
      <c r="J32">
        <v>17024.96</v>
      </c>
      <c r="K32">
        <v>17324.879999999997</v>
      </c>
      <c r="L32">
        <v>17944.067999999999</v>
      </c>
      <c r="M32">
        <v>18765.153999999999</v>
      </c>
      <c r="N32">
        <v>21422.998000000003</v>
      </c>
      <c r="O32">
        <v>22727.776000000005</v>
      </c>
      <c r="P32">
        <v>23814.676799999997</v>
      </c>
      <c r="Q32">
        <v>25531.402000000002</v>
      </c>
      <c r="R32">
        <v>26285.822399000004</v>
      </c>
      <c r="S32">
        <v>26882.231</v>
      </c>
      <c r="T32">
        <v>28257.994399999996</v>
      </c>
      <c r="U32">
        <v>28290.964400000001</v>
      </c>
      <c r="V32">
        <v>29706.157999999999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AD91-716D-4687-971D-D5542665D55E}">
  <dimension ref="A1:V34"/>
  <sheetViews>
    <sheetView workbookViewId="0">
      <selection activeCell="H20" sqref="H20"/>
    </sheetView>
  </sheetViews>
  <sheetFormatPr defaultRowHeight="14.25" x14ac:dyDescent="0.2"/>
  <cols>
    <col min="1" max="1" width="26.875" bestFit="1" customWidth="1"/>
    <col min="2" max="2" width="6.5" bestFit="1" customWidth="1"/>
    <col min="3" max="4" width="6.875" bestFit="1" customWidth="1"/>
    <col min="5" max="7" width="7.875" bestFit="1" customWidth="1"/>
    <col min="8" max="9" width="6.875" bestFit="1" customWidth="1"/>
    <col min="10" max="16" width="7.875" bestFit="1" customWidth="1"/>
    <col min="17" max="20" width="8.875" bestFit="1" customWidth="1"/>
    <col min="21" max="22" width="6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103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2" x14ac:dyDescent="0.2">
      <c r="A3" t="s">
        <v>26</v>
      </c>
      <c r="B3" t="s">
        <v>103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2" x14ac:dyDescent="0.2">
      <c r="A4" t="s">
        <v>29</v>
      </c>
      <c r="B4" t="s">
        <v>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2" x14ac:dyDescent="0.2">
      <c r="A5" t="s">
        <v>68</v>
      </c>
      <c r="B5" t="s">
        <v>103</v>
      </c>
    </row>
    <row r="6" spans="1:22" x14ac:dyDescent="0.2">
      <c r="A6" t="s">
        <v>21</v>
      </c>
      <c r="B6" t="s">
        <v>103</v>
      </c>
    </row>
    <row r="7" spans="1:22" x14ac:dyDescent="0.2">
      <c r="A7" t="s">
        <v>69</v>
      </c>
      <c r="B7" t="s">
        <v>103</v>
      </c>
    </row>
    <row r="8" spans="1:22" x14ac:dyDescent="0.2">
      <c r="A8" t="s">
        <v>70</v>
      </c>
      <c r="B8" t="s">
        <v>103</v>
      </c>
    </row>
    <row r="9" spans="1:22" x14ac:dyDescent="0.2">
      <c r="A9" t="s">
        <v>30</v>
      </c>
      <c r="B9" t="s">
        <v>103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2" x14ac:dyDescent="0.2">
      <c r="A10" t="s">
        <v>31</v>
      </c>
      <c r="B10" t="s">
        <v>103</v>
      </c>
      <c r="C10">
        <v>4640</v>
      </c>
      <c r="D10">
        <v>4405</v>
      </c>
      <c r="E10">
        <v>4420</v>
      </c>
      <c r="F10">
        <v>4440</v>
      </c>
      <c r="G10">
        <v>3950</v>
      </c>
      <c r="H10">
        <v>3148</v>
      </c>
      <c r="I10">
        <v>3148</v>
      </c>
      <c r="J10">
        <v>2555</v>
      </c>
      <c r="K10">
        <v>2555</v>
      </c>
      <c r="L10">
        <v>2555</v>
      </c>
      <c r="M10">
        <v>2555</v>
      </c>
      <c r="N10">
        <v>2555</v>
      </c>
      <c r="O10">
        <v>2555</v>
      </c>
      <c r="P10">
        <v>2554.6</v>
      </c>
      <c r="Q10">
        <v>1363.6</v>
      </c>
      <c r="R10">
        <v>763.6</v>
      </c>
      <c r="S10">
        <v>763.6</v>
      </c>
      <c r="T10">
        <v>763.6</v>
      </c>
    </row>
    <row r="11" spans="1:22" x14ac:dyDescent="0.2">
      <c r="A11" t="s">
        <v>71</v>
      </c>
      <c r="B11" t="s">
        <v>103</v>
      </c>
    </row>
    <row r="12" spans="1:22" x14ac:dyDescent="0.2">
      <c r="A12" t="s">
        <v>36</v>
      </c>
      <c r="B12" t="s">
        <v>103</v>
      </c>
      <c r="C12">
        <v>287</v>
      </c>
      <c r="D12">
        <v>305</v>
      </c>
      <c r="E12">
        <v>315</v>
      </c>
      <c r="F12">
        <v>323</v>
      </c>
      <c r="G12">
        <v>408</v>
      </c>
      <c r="H12">
        <v>370</v>
      </c>
      <c r="I12">
        <v>285</v>
      </c>
      <c r="J12">
        <v>180</v>
      </c>
      <c r="K12">
        <v>180</v>
      </c>
      <c r="L12">
        <v>180</v>
      </c>
      <c r="M12">
        <v>180</v>
      </c>
      <c r="N12">
        <v>180</v>
      </c>
      <c r="O12">
        <v>180</v>
      </c>
      <c r="P12">
        <v>180</v>
      </c>
      <c r="Q12">
        <v>180</v>
      </c>
      <c r="R12">
        <v>180</v>
      </c>
      <c r="S12">
        <v>180</v>
      </c>
      <c r="T12">
        <v>180</v>
      </c>
    </row>
    <row r="13" spans="1:22" x14ac:dyDescent="0.2">
      <c r="A13" t="s">
        <v>72</v>
      </c>
      <c r="B13" t="s">
        <v>103</v>
      </c>
    </row>
    <row r="14" spans="1:22" x14ac:dyDescent="0.2">
      <c r="A14" t="s">
        <v>32</v>
      </c>
      <c r="B14" t="s">
        <v>103</v>
      </c>
      <c r="C14">
        <v>4534</v>
      </c>
      <c r="D14">
        <v>4534</v>
      </c>
      <c r="E14">
        <v>5024</v>
      </c>
      <c r="F14">
        <v>5035</v>
      </c>
      <c r="G14">
        <v>5414</v>
      </c>
      <c r="H14">
        <v>6154</v>
      </c>
      <c r="I14">
        <v>6223</v>
      </c>
      <c r="J14">
        <v>7818</v>
      </c>
      <c r="K14">
        <v>9430</v>
      </c>
      <c r="L14">
        <v>9892</v>
      </c>
      <c r="M14">
        <v>10356</v>
      </c>
      <c r="N14">
        <v>10356</v>
      </c>
      <c r="O14">
        <v>10508</v>
      </c>
      <c r="P14">
        <v>10501.3</v>
      </c>
      <c r="Q14">
        <v>10491.410000000002</v>
      </c>
      <c r="R14">
        <v>10491.410000000002</v>
      </c>
      <c r="S14">
        <v>10491.410000000002</v>
      </c>
      <c r="T14">
        <v>10491.410000000002</v>
      </c>
    </row>
    <row r="15" spans="1:22" x14ac:dyDescent="0.2">
      <c r="A15" t="s">
        <v>39</v>
      </c>
      <c r="B15" t="s">
        <v>103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2" x14ac:dyDescent="0.2">
      <c r="A16" t="s">
        <v>41</v>
      </c>
      <c r="B16" t="s">
        <v>103</v>
      </c>
    </row>
    <row r="17" spans="1:20" x14ac:dyDescent="0.2">
      <c r="A17" t="s">
        <v>40</v>
      </c>
      <c r="B17" t="s">
        <v>103</v>
      </c>
    </row>
    <row r="18" spans="1:20" x14ac:dyDescent="0.2">
      <c r="A18" t="s">
        <v>73</v>
      </c>
      <c r="B18" t="s">
        <v>103</v>
      </c>
    </row>
    <row r="19" spans="1:20" x14ac:dyDescent="0.2">
      <c r="A19" t="s">
        <v>38</v>
      </c>
      <c r="B19" t="s">
        <v>103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">
      <c r="A20" t="s">
        <v>42</v>
      </c>
      <c r="B20" t="s">
        <v>103</v>
      </c>
      <c r="C20">
        <v>0</v>
      </c>
      <c r="D20">
        <v>0</v>
      </c>
      <c r="E20">
        <v>0</v>
      </c>
      <c r="F20">
        <v>0.3</v>
      </c>
      <c r="G20">
        <v>1.5</v>
      </c>
      <c r="H20">
        <v>2.9</v>
      </c>
      <c r="I20">
        <v>4.6000000000000005</v>
      </c>
      <c r="J20">
        <v>7.7</v>
      </c>
      <c r="K20">
        <v>11.8</v>
      </c>
      <c r="L20">
        <v>25.3</v>
      </c>
      <c r="M20">
        <v>45.7</v>
      </c>
      <c r="N20">
        <v>96.600000000000009</v>
      </c>
      <c r="O20">
        <v>151.1</v>
      </c>
      <c r="P20">
        <v>209.8</v>
      </c>
      <c r="Q20">
        <v>352.7</v>
      </c>
      <c r="R20">
        <v>431.2</v>
      </c>
      <c r="S20">
        <v>631.79999999999995</v>
      </c>
      <c r="T20">
        <v>516</v>
      </c>
    </row>
    <row r="21" spans="1:20" x14ac:dyDescent="0.2">
      <c r="A21" t="s">
        <v>74</v>
      </c>
      <c r="B21" t="s">
        <v>103</v>
      </c>
    </row>
    <row r="22" spans="1:20" x14ac:dyDescent="0.2">
      <c r="A22" t="s">
        <v>75</v>
      </c>
      <c r="B22" t="s">
        <v>103</v>
      </c>
    </row>
    <row r="23" spans="1:20" x14ac:dyDescent="0.2">
      <c r="A23" t="s">
        <v>44</v>
      </c>
      <c r="B23" t="s">
        <v>103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">
      <c r="A24" t="s">
        <v>18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">
      <c r="A25" t="s">
        <v>16</v>
      </c>
      <c r="B25" t="s">
        <v>103</v>
      </c>
    </row>
    <row r="26" spans="1:20" x14ac:dyDescent="0.2">
      <c r="A26" t="s">
        <v>76</v>
      </c>
      <c r="B26" t="s">
        <v>103</v>
      </c>
    </row>
    <row r="27" spans="1:20" x14ac:dyDescent="0.2">
      <c r="A27" t="s">
        <v>77</v>
      </c>
      <c r="B27" t="s">
        <v>103</v>
      </c>
    </row>
    <row r="28" spans="1:20" x14ac:dyDescent="0.2">
      <c r="A28" t="s">
        <v>78</v>
      </c>
      <c r="B28" t="s">
        <v>103</v>
      </c>
    </row>
    <row r="29" spans="1:20" x14ac:dyDescent="0.2">
      <c r="A29" t="s">
        <v>14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">
      <c r="A30" t="s">
        <v>79</v>
      </c>
      <c r="B30" t="s">
        <v>103</v>
      </c>
    </row>
    <row r="31" spans="1:20" x14ac:dyDescent="0.2">
      <c r="A31" t="s">
        <v>80</v>
      </c>
      <c r="B31" t="s">
        <v>103</v>
      </c>
    </row>
    <row r="32" spans="1:20" x14ac:dyDescent="0.2">
      <c r="A32" t="s">
        <v>34</v>
      </c>
      <c r="B32" t="s">
        <v>103</v>
      </c>
    </row>
    <row r="33" spans="1:20" x14ac:dyDescent="0.2">
      <c r="A33" t="s">
        <v>43</v>
      </c>
      <c r="B33" t="s">
        <v>103</v>
      </c>
      <c r="C33">
        <v>305.8</v>
      </c>
      <c r="D33">
        <v>305.8</v>
      </c>
      <c r="E33">
        <v>305.8</v>
      </c>
      <c r="F33">
        <v>305.8</v>
      </c>
      <c r="G33">
        <v>256.8</v>
      </c>
      <c r="H33">
        <v>256.8</v>
      </c>
      <c r="I33">
        <v>256.8</v>
      </c>
      <c r="J33">
        <v>256.8</v>
      </c>
      <c r="K33">
        <v>256.8</v>
      </c>
      <c r="L33">
        <v>256.8</v>
      </c>
      <c r="M33">
        <v>256.8</v>
      </c>
      <c r="N33">
        <v>256.8</v>
      </c>
      <c r="O33">
        <v>256.8</v>
      </c>
      <c r="P33">
        <v>256.8</v>
      </c>
      <c r="Q33">
        <v>256.8</v>
      </c>
      <c r="R33">
        <v>256.8</v>
      </c>
      <c r="S33">
        <v>256.8</v>
      </c>
      <c r="T33">
        <v>393</v>
      </c>
    </row>
    <row r="34" spans="1:20" x14ac:dyDescent="0.2">
      <c r="A34" t="s">
        <v>81</v>
      </c>
      <c r="B34" t="s">
        <v>103</v>
      </c>
      <c r="C34">
        <v>9766.7999999999993</v>
      </c>
      <c r="D34">
        <v>9549.7999999999993</v>
      </c>
      <c r="E34">
        <v>10064.799999999999</v>
      </c>
      <c r="F34">
        <v>10104.099999999999</v>
      </c>
      <c r="G34">
        <v>10030.299999999999</v>
      </c>
      <c r="H34">
        <v>9931.6999999999989</v>
      </c>
      <c r="I34">
        <v>9917.4</v>
      </c>
      <c r="J34">
        <v>10817.5</v>
      </c>
      <c r="K34">
        <v>12433.599999999999</v>
      </c>
      <c r="L34">
        <v>12909.099999999999</v>
      </c>
      <c r="M34">
        <v>13393.5</v>
      </c>
      <c r="N34">
        <v>13444.4</v>
      </c>
      <c r="O34">
        <v>13650.9</v>
      </c>
      <c r="P34">
        <v>13702.499999999998</v>
      </c>
      <c r="Q34">
        <v>12644.510000000002</v>
      </c>
      <c r="R34">
        <v>12123.010000000002</v>
      </c>
      <c r="S34">
        <v>12323.61</v>
      </c>
      <c r="T34">
        <v>12344.010000000002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C29D-617D-499B-BC4C-E2A794C47ADB}">
  <dimension ref="A1:V34"/>
  <sheetViews>
    <sheetView topLeftCell="B1" workbookViewId="0">
      <selection activeCell="H20" sqref="H20"/>
    </sheetView>
  </sheetViews>
  <sheetFormatPr defaultRowHeight="14.25" x14ac:dyDescent="0.2"/>
  <cols>
    <col min="1" max="1" width="26.875" bestFit="1" customWidth="1"/>
    <col min="2" max="2" width="6.5" bestFit="1" customWidth="1"/>
    <col min="3" max="4" width="8.875" bestFit="1" customWidth="1"/>
    <col min="5" max="5" width="7.875" bestFit="1" customWidth="1"/>
    <col min="6" max="9" width="8.875" bestFit="1" customWidth="1"/>
    <col min="10" max="11" width="7.875" bestFit="1" customWidth="1"/>
    <col min="12" max="13" width="6.875" bestFit="1" customWidth="1"/>
    <col min="14" max="17" width="7.875" bestFit="1" customWidth="1"/>
    <col min="18" max="20" width="11.875" bestFit="1" customWidth="1"/>
    <col min="21" max="22" width="6.87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103</v>
      </c>
      <c r="C2">
        <v>3347.28</v>
      </c>
      <c r="D2">
        <v>3666.17</v>
      </c>
      <c r="E2">
        <v>5332</v>
      </c>
      <c r="F2">
        <v>5332</v>
      </c>
      <c r="G2">
        <v>5423.05</v>
      </c>
      <c r="H2">
        <v>5502.04</v>
      </c>
      <c r="I2">
        <v>5502.04</v>
      </c>
      <c r="J2">
        <v>4564</v>
      </c>
      <c r="K2">
        <v>4564</v>
      </c>
      <c r="L2">
        <v>5072</v>
      </c>
      <c r="M2">
        <v>5559</v>
      </c>
      <c r="N2">
        <v>6060</v>
      </c>
      <c r="O2">
        <v>6060</v>
      </c>
      <c r="P2">
        <v>6074</v>
      </c>
      <c r="Q2">
        <v>6114</v>
      </c>
      <c r="R2">
        <v>6077</v>
      </c>
      <c r="S2">
        <v>6067.5</v>
      </c>
      <c r="T2">
        <v>6067.5</v>
      </c>
      <c r="U2">
        <v>6140</v>
      </c>
      <c r="V2">
        <v>6140</v>
      </c>
    </row>
    <row r="3" spans="1:22" x14ac:dyDescent="0.2">
      <c r="A3" t="s">
        <v>26</v>
      </c>
      <c r="B3" t="s">
        <v>103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22" x14ac:dyDescent="0.2">
      <c r="A4" t="s">
        <v>29</v>
      </c>
      <c r="B4" t="s">
        <v>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22" x14ac:dyDescent="0.2">
      <c r="A5" t="s">
        <v>68</v>
      </c>
      <c r="B5" t="s">
        <v>103</v>
      </c>
    </row>
    <row r="6" spans="1:22" x14ac:dyDescent="0.2">
      <c r="A6" t="s">
        <v>21</v>
      </c>
      <c r="B6" t="s">
        <v>103</v>
      </c>
    </row>
    <row r="7" spans="1:22" x14ac:dyDescent="0.2">
      <c r="A7" t="s">
        <v>69</v>
      </c>
      <c r="B7" t="s">
        <v>103</v>
      </c>
    </row>
    <row r="8" spans="1:22" x14ac:dyDescent="0.2">
      <c r="A8" t="s">
        <v>70</v>
      </c>
      <c r="B8" t="s">
        <v>103</v>
      </c>
    </row>
    <row r="9" spans="1:22" x14ac:dyDescent="0.2">
      <c r="A9" t="s">
        <v>30</v>
      </c>
      <c r="B9" t="s">
        <v>103</v>
      </c>
      <c r="C9">
        <v>1580.71</v>
      </c>
      <c r="D9">
        <v>1527.58</v>
      </c>
      <c r="E9">
        <v>709.3</v>
      </c>
      <c r="F9">
        <v>319.19</v>
      </c>
      <c r="G9">
        <v>132.19</v>
      </c>
      <c r="H9">
        <v>209.1</v>
      </c>
      <c r="I9">
        <v>395.6</v>
      </c>
      <c r="J9">
        <v>350</v>
      </c>
      <c r="K9">
        <v>350</v>
      </c>
      <c r="L9">
        <v>370</v>
      </c>
      <c r="M9">
        <v>370</v>
      </c>
      <c r="N9">
        <v>370</v>
      </c>
      <c r="O9">
        <v>370</v>
      </c>
      <c r="P9">
        <v>370</v>
      </c>
      <c r="Q9">
        <v>369</v>
      </c>
      <c r="R9">
        <v>54.66</v>
      </c>
      <c r="S9">
        <v>58.84</v>
      </c>
      <c r="T9">
        <v>58.84</v>
      </c>
    </row>
    <row r="10" spans="1:22" x14ac:dyDescent="0.2">
      <c r="A10" t="s">
        <v>31</v>
      </c>
      <c r="B10" t="s">
        <v>103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315</v>
      </c>
      <c r="S10">
        <v>315</v>
      </c>
      <c r="T10">
        <v>315</v>
      </c>
    </row>
    <row r="11" spans="1:22" x14ac:dyDescent="0.2">
      <c r="A11" t="s">
        <v>71</v>
      </c>
      <c r="B11" t="s">
        <v>103</v>
      </c>
    </row>
    <row r="12" spans="1:22" x14ac:dyDescent="0.2">
      <c r="A12" t="s">
        <v>36</v>
      </c>
      <c r="B12" t="s">
        <v>103</v>
      </c>
    </row>
    <row r="13" spans="1:22" x14ac:dyDescent="0.2">
      <c r="A13" t="s">
        <v>72</v>
      </c>
      <c r="B13" t="s">
        <v>103</v>
      </c>
    </row>
    <row r="14" spans="1:22" x14ac:dyDescent="0.2">
      <c r="A14" t="s">
        <v>32</v>
      </c>
      <c r="B14" t="s">
        <v>103</v>
      </c>
      <c r="C14">
        <v>17865.009999999998</v>
      </c>
      <c r="D14">
        <v>17845.25</v>
      </c>
      <c r="E14">
        <v>18768.7</v>
      </c>
      <c r="F14">
        <v>20949.189999999999</v>
      </c>
      <c r="G14">
        <v>21550.76</v>
      </c>
      <c r="H14">
        <v>22656.87</v>
      </c>
      <c r="I14">
        <v>21987</v>
      </c>
      <c r="J14">
        <v>21373</v>
      </c>
      <c r="K14">
        <v>24709</v>
      </c>
      <c r="L14">
        <v>24897</v>
      </c>
      <c r="M14">
        <v>25847</v>
      </c>
      <c r="N14">
        <v>27704</v>
      </c>
      <c r="O14">
        <v>28406</v>
      </c>
      <c r="P14">
        <v>28718</v>
      </c>
      <c r="Q14">
        <v>27507.7</v>
      </c>
      <c r="R14">
        <v>27960.99</v>
      </c>
      <c r="S14">
        <v>29120.99</v>
      </c>
      <c r="T14">
        <v>30925</v>
      </c>
      <c r="U14">
        <v>36110</v>
      </c>
      <c r="V14">
        <v>38060</v>
      </c>
    </row>
    <row r="15" spans="1:22" x14ac:dyDescent="0.2">
      <c r="A15" t="s">
        <v>34</v>
      </c>
      <c r="B15" t="s">
        <v>103</v>
      </c>
    </row>
    <row r="16" spans="1:22" x14ac:dyDescent="0.2">
      <c r="A16" t="s">
        <v>39</v>
      </c>
      <c r="B16" t="s">
        <v>103</v>
      </c>
      <c r="C16">
        <v>2976</v>
      </c>
      <c r="D16">
        <v>2976</v>
      </c>
      <c r="E16">
        <v>2976</v>
      </c>
      <c r="F16">
        <v>2981</v>
      </c>
      <c r="G16">
        <v>2988</v>
      </c>
      <c r="H16">
        <v>2988</v>
      </c>
      <c r="I16">
        <v>3000</v>
      </c>
      <c r="J16">
        <v>3484</v>
      </c>
      <c r="K16">
        <v>3484</v>
      </c>
      <c r="L16">
        <v>3527</v>
      </c>
      <c r="M16">
        <v>3568</v>
      </c>
      <c r="N16">
        <v>3549</v>
      </c>
      <c r="O16">
        <v>3569</v>
      </c>
      <c r="P16">
        <v>3591</v>
      </c>
      <c r="Q16">
        <v>8042</v>
      </c>
      <c r="R16">
        <v>7048.61</v>
      </c>
      <c r="S16">
        <v>7051.77</v>
      </c>
      <c r="T16">
        <v>7580.03</v>
      </c>
      <c r="U16">
        <v>3130</v>
      </c>
      <c r="V16">
        <v>3130</v>
      </c>
    </row>
    <row r="17" spans="1:22" x14ac:dyDescent="0.2">
      <c r="A17" t="s">
        <v>41</v>
      </c>
      <c r="B17" t="s">
        <v>103</v>
      </c>
    </row>
    <row r="18" spans="1:22" x14ac:dyDescent="0.2">
      <c r="A18" t="s">
        <v>40</v>
      </c>
      <c r="B18" t="s">
        <v>103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1000</v>
      </c>
      <c r="S18">
        <v>1000</v>
      </c>
      <c r="T18">
        <v>1000</v>
      </c>
    </row>
    <row r="19" spans="1:22" x14ac:dyDescent="0.2">
      <c r="A19" t="s">
        <v>73</v>
      </c>
      <c r="B19" t="s">
        <v>103</v>
      </c>
    </row>
    <row r="20" spans="1:22" x14ac:dyDescent="0.2">
      <c r="A20" t="s">
        <v>38</v>
      </c>
      <c r="B20" t="s">
        <v>103</v>
      </c>
      <c r="C20">
        <v>0.3</v>
      </c>
      <c r="D20">
        <v>0.3</v>
      </c>
      <c r="E20">
        <v>0.3</v>
      </c>
      <c r="F20">
        <v>0.3</v>
      </c>
      <c r="G20">
        <v>0.3</v>
      </c>
      <c r="H20">
        <v>0.3</v>
      </c>
      <c r="I20">
        <v>0.3</v>
      </c>
      <c r="J20">
        <v>0.3</v>
      </c>
      <c r="K20">
        <v>0.3</v>
      </c>
      <c r="L20">
        <v>0.3</v>
      </c>
      <c r="M20">
        <v>0.3</v>
      </c>
      <c r="N20">
        <v>0.3</v>
      </c>
      <c r="O20">
        <v>0.3</v>
      </c>
      <c r="P20">
        <v>0.3</v>
      </c>
      <c r="Q20">
        <v>0</v>
      </c>
      <c r="R20">
        <v>0</v>
      </c>
      <c r="S20">
        <v>0.3</v>
      </c>
      <c r="T20">
        <v>0.3</v>
      </c>
    </row>
    <row r="21" spans="1:22" x14ac:dyDescent="0.2">
      <c r="A21" t="s">
        <v>42</v>
      </c>
      <c r="B21" t="s">
        <v>103</v>
      </c>
      <c r="C21">
        <v>0</v>
      </c>
      <c r="D21">
        <v>0</v>
      </c>
      <c r="E21">
        <v>0</v>
      </c>
      <c r="F21">
        <v>0</v>
      </c>
      <c r="G21">
        <v>9.1999999999999993</v>
      </c>
      <c r="H21">
        <v>26</v>
      </c>
      <c r="I21">
        <v>50</v>
      </c>
      <c r="J21">
        <v>87</v>
      </c>
      <c r="K21">
        <v>177</v>
      </c>
      <c r="L21">
        <v>1086</v>
      </c>
      <c r="M21">
        <v>1367</v>
      </c>
      <c r="N21">
        <v>2501</v>
      </c>
      <c r="O21">
        <v>2573</v>
      </c>
      <c r="P21">
        <v>2849</v>
      </c>
      <c r="Q21">
        <v>2853.7</v>
      </c>
      <c r="R21">
        <v>2860.48</v>
      </c>
      <c r="S21">
        <v>2904.31</v>
      </c>
      <c r="T21">
        <v>2908.53</v>
      </c>
      <c r="U21">
        <v>3300</v>
      </c>
      <c r="V21">
        <v>3380</v>
      </c>
    </row>
    <row r="22" spans="1:22" x14ac:dyDescent="0.2">
      <c r="A22" t="s">
        <v>74</v>
      </c>
      <c r="B22" t="s">
        <v>103</v>
      </c>
    </row>
    <row r="23" spans="1:22" x14ac:dyDescent="0.2">
      <c r="A23" t="s">
        <v>75</v>
      </c>
      <c r="B23" t="s">
        <v>103</v>
      </c>
    </row>
    <row r="24" spans="1:22" x14ac:dyDescent="0.2">
      <c r="A24" t="s">
        <v>44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2.5</v>
      </c>
      <c r="H24">
        <v>3.3</v>
      </c>
      <c r="I24">
        <v>0</v>
      </c>
      <c r="J24">
        <v>93</v>
      </c>
      <c r="K24">
        <v>183</v>
      </c>
      <c r="L24">
        <v>191</v>
      </c>
      <c r="M24">
        <v>202</v>
      </c>
      <c r="N24">
        <v>462</v>
      </c>
      <c r="O24">
        <v>588</v>
      </c>
      <c r="P24">
        <v>1082</v>
      </c>
      <c r="Q24">
        <v>1486</v>
      </c>
      <c r="R24">
        <v>1488.06</v>
      </c>
      <c r="S24">
        <v>1504.06</v>
      </c>
      <c r="T24">
        <v>1504.01</v>
      </c>
      <c r="U24">
        <v>1540</v>
      </c>
      <c r="V24">
        <v>1540</v>
      </c>
    </row>
    <row r="25" spans="1:22" x14ac:dyDescent="0.2">
      <c r="A25" t="s">
        <v>18</v>
      </c>
      <c r="B25" t="s">
        <v>103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</v>
      </c>
      <c r="J25">
        <v>72</v>
      </c>
      <c r="K25">
        <v>151</v>
      </c>
      <c r="L25">
        <v>1102</v>
      </c>
      <c r="M25">
        <v>1272</v>
      </c>
      <c r="N25">
        <v>1429</v>
      </c>
      <c r="O25">
        <v>1588</v>
      </c>
      <c r="P25">
        <v>2056</v>
      </c>
      <c r="Q25">
        <v>2120</v>
      </c>
      <c r="R25">
        <v>0</v>
      </c>
      <c r="S25">
        <v>0</v>
      </c>
      <c r="T25">
        <v>0</v>
      </c>
    </row>
    <row r="26" spans="1:22" x14ac:dyDescent="0.2">
      <c r="A26" t="s">
        <v>16</v>
      </c>
      <c r="B26" t="s">
        <v>103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1930.58</v>
      </c>
      <c r="S26">
        <v>1959.18</v>
      </c>
      <c r="T26">
        <v>2024.55</v>
      </c>
      <c r="U26">
        <v>4430</v>
      </c>
      <c r="V26">
        <v>4350</v>
      </c>
    </row>
    <row r="27" spans="1:22" x14ac:dyDescent="0.2">
      <c r="A27" t="s">
        <v>76</v>
      </c>
      <c r="B27" t="s">
        <v>103</v>
      </c>
    </row>
    <row r="28" spans="1:22" x14ac:dyDescent="0.2">
      <c r="A28" t="s">
        <v>77</v>
      </c>
      <c r="B28" t="s">
        <v>103</v>
      </c>
    </row>
    <row r="29" spans="1:22" x14ac:dyDescent="0.2">
      <c r="A29" t="s">
        <v>14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344</v>
      </c>
      <c r="K29">
        <v>353</v>
      </c>
      <c r="L29">
        <v>353</v>
      </c>
      <c r="M29">
        <v>353</v>
      </c>
      <c r="N29">
        <v>353</v>
      </c>
      <c r="O29">
        <v>353</v>
      </c>
      <c r="P29">
        <v>0</v>
      </c>
      <c r="Q29">
        <v>0</v>
      </c>
      <c r="R29">
        <v>348.73</v>
      </c>
      <c r="S29">
        <v>348.73</v>
      </c>
      <c r="T29">
        <v>310.19</v>
      </c>
    </row>
    <row r="30" spans="1:22" x14ac:dyDescent="0.2">
      <c r="A30" t="s">
        <v>43</v>
      </c>
      <c r="B30" t="s">
        <v>103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634.13345599999934</v>
      </c>
      <c r="S30">
        <v>650.12629775000437</v>
      </c>
      <c r="T30">
        <v>657.64957119998815</v>
      </c>
    </row>
    <row r="31" spans="1:22" x14ac:dyDescent="0.2">
      <c r="A31" t="s">
        <v>78</v>
      </c>
      <c r="B31" t="s">
        <v>103</v>
      </c>
    </row>
    <row r="32" spans="1:22" x14ac:dyDescent="0.2">
      <c r="A32" t="s">
        <v>79</v>
      </c>
      <c r="B32" t="s">
        <v>103</v>
      </c>
    </row>
    <row r="33" spans="1:22" x14ac:dyDescent="0.2">
      <c r="A33" t="s">
        <v>80</v>
      </c>
      <c r="B33" t="s">
        <v>103</v>
      </c>
      <c r="I33">
        <v>1986.88</v>
      </c>
      <c r="J33">
        <v>2144</v>
      </c>
      <c r="K33">
        <v>2144</v>
      </c>
      <c r="L33">
        <v>2191.6999999999998</v>
      </c>
      <c r="M33">
        <v>2265.6999999999998</v>
      </c>
      <c r="N33">
        <v>2288.1</v>
      </c>
      <c r="O33">
        <v>2323.8000000000002</v>
      </c>
      <c r="P33">
        <v>2435.1999999999998</v>
      </c>
      <c r="Q33">
        <v>354</v>
      </c>
    </row>
    <row r="34" spans="1:22" x14ac:dyDescent="0.2">
      <c r="A34" t="s">
        <v>81</v>
      </c>
      <c r="B34" t="s">
        <v>103</v>
      </c>
      <c r="C34">
        <v>25769.3</v>
      </c>
      <c r="D34">
        <v>26015.3</v>
      </c>
      <c r="E34">
        <v>27786.3</v>
      </c>
      <c r="F34">
        <v>29581.679999999997</v>
      </c>
      <c r="G34">
        <v>30106</v>
      </c>
      <c r="H34">
        <v>31385.609999999997</v>
      </c>
      <c r="I34">
        <v>32926.82</v>
      </c>
      <c r="J34">
        <v>32511.3</v>
      </c>
      <c r="K34">
        <v>36115.300000000003</v>
      </c>
      <c r="L34">
        <v>38790</v>
      </c>
      <c r="M34">
        <v>40804</v>
      </c>
      <c r="N34">
        <v>44716.4</v>
      </c>
      <c r="O34">
        <v>45831.100000000006</v>
      </c>
      <c r="P34">
        <v>47175.5</v>
      </c>
      <c r="Q34">
        <v>48846.399999999994</v>
      </c>
      <c r="R34">
        <v>49718.243456000004</v>
      </c>
      <c r="S34">
        <v>50980.806297750009</v>
      </c>
      <c r="T34">
        <v>53351.599571199993</v>
      </c>
      <c r="U34">
        <v>54650</v>
      </c>
      <c r="V34">
        <v>56600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8B58-CF5B-4CCA-9A85-F0742EE079CF}">
  <dimension ref="A1:V34"/>
  <sheetViews>
    <sheetView workbookViewId="0">
      <selection activeCell="H20" sqref="H20"/>
    </sheetView>
  </sheetViews>
  <sheetFormatPr defaultRowHeight="14.25" x14ac:dyDescent="0.2"/>
  <cols>
    <col min="1" max="1" width="26.875" bestFit="1" customWidth="1"/>
    <col min="2" max="2" width="6.5" bestFit="1" customWidth="1"/>
    <col min="3" max="3" width="7.875" bestFit="1" customWidth="1"/>
    <col min="4" max="4" width="8.875" bestFit="1" customWidth="1"/>
    <col min="5" max="5" width="9.875" bestFit="1" customWidth="1"/>
    <col min="6" max="6" width="8.875" bestFit="1" customWidth="1"/>
    <col min="7" max="7" width="9.875" bestFit="1" customWidth="1"/>
    <col min="8" max="8" width="8.875" bestFit="1" customWidth="1"/>
    <col min="9" max="9" width="7.875" bestFit="1" customWidth="1"/>
    <col min="10" max="13" width="8.875" bestFit="1" customWidth="1"/>
    <col min="14" max="15" width="7.875" bestFit="1" customWidth="1"/>
    <col min="16" max="16" width="6.875" bestFit="1" customWidth="1"/>
    <col min="17" max="17" width="8.875" bestFit="1" customWidth="1"/>
    <col min="18" max="22" width="6.875" bestFit="1" customWidth="1"/>
    <col min="23" max="25" width="11.625" bestFit="1" customWidth="1"/>
  </cols>
  <sheetData>
    <row r="1" spans="1:22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</row>
    <row r="2" spans="1:22" x14ac:dyDescent="0.2">
      <c r="A2" t="s">
        <v>24</v>
      </c>
      <c r="B2" t="s">
        <v>103</v>
      </c>
      <c r="C2">
        <v>1245</v>
      </c>
      <c r="D2">
        <v>1695</v>
      </c>
      <c r="E2">
        <v>2386.25</v>
      </c>
      <c r="F2">
        <v>3077.5</v>
      </c>
      <c r="G2">
        <v>3768.75</v>
      </c>
      <c r="H2">
        <v>4460</v>
      </c>
      <c r="I2">
        <v>4460</v>
      </c>
      <c r="J2">
        <v>4900</v>
      </c>
      <c r="K2">
        <v>7053</v>
      </c>
      <c r="L2">
        <v>9759</v>
      </c>
      <c r="M2">
        <v>12540</v>
      </c>
      <c r="N2">
        <v>13790</v>
      </c>
      <c r="O2">
        <v>15590</v>
      </c>
      <c r="P2">
        <v>18945</v>
      </c>
      <c r="Q2">
        <v>20250.28</v>
      </c>
      <c r="R2">
        <v>22077</v>
      </c>
      <c r="S2">
        <v>25397</v>
      </c>
      <c r="T2">
        <v>26087</v>
      </c>
      <c r="U2">
        <v>27532</v>
      </c>
      <c r="V2">
        <v>28229</v>
      </c>
    </row>
    <row r="3" spans="1:22" x14ac:dyDescent="0.2">
      <c r="A3" t="s">
        <v>26</v>
      </c>
      <c r="B3" t="s">
        <v>103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2" x14ac:dyDescent="0.2">
      <c r="A4" t="s">
        <v>29</v>
      </c>
      <c r="B4" t="s">
        <v>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22" x14ac:dyDescent="0.2">
      <c r="A5" t="s">
        <v>68</v>
      </c>
      <c r="B5" t="s">
        <v>103</v>
      </c>
    </row>
    <row r="6" spans="1:22" x14ac:dyDescent="0.2">
      <c r="A6" t="s">
        <v>21</v>
      </c>
      <c r="B6" t="s">
        <v>103</v>
      </c>
    </row>
    <row r="7" spans="1:22" x14ac:dyDescent="0.2">
      <c r="A7" t="s">
        <v>69</v>
      </c>
      <c r="B7" t="s">
        <v>103</v>
      </c>
    </row>
    <row r="8" spans="1:22" x14ac:dyDescent="0.2">
      <c r="A8" t="s">
        <v>70</v>
      </c>
      <c r="B8" t="s">
        <v>103</v>
      </c>
    </row>
    <row r="9" spans="1:22" x14ac:dyDescent="0.2">
      <c r="A9" t="s">
        <v>30</v>
      </c>
      <c r="B9" t="s">
        <v>103</v>
      </c>
      <c r="C9">
        <v>198</v>
      </c>
      <c r="D9">
        <v>2144.41</v>
      </c>
      <c r="E9">
        <v>1915.308</v>
      </c>
      <c r="F9">
        <v>1686.2049999999999</v>
      </c>
      <c r="G9">
        <v>1457.1030000000001</v>
      </c>
      <c r="H9">
        <v>1228</v>
      </c>
      <c r="I9">
        <v>1228</v>
      </c>
      <c r="J9">
        <v>1228</v>
      </c>
      <c r="K9">
        <v>1228</v>
      </c>
      <c r="L9">
        <v>1154.5</v>
      </c>
      <c r="M9">
        <v>1216</v>
      </c>
      <c r="N9">
        <v>1216</v>
      </c>
      <c r="O9">
        <v>1216</v>
      </c>
      <c r="P9">
        <v>1579</v>
      </c>
      <c r="Q9">
        <v>1579</v>
      </c>
      <c r="R9">
        <v>1603</v>
      </c>
      <c r="S9">
        <v>1603</v>
      </c>
      <c r="T9">
        <v>1603</v>
      </c>
      <c r="U9">
        <v>1603</v>
      </c>
      <c r="V9">
        <v>1603</v>
      </c>
    </row>
    <row r="10" spans="1:22" x14ac:dyDescent="0.2">
      <c r="A10" t="s">
        <v>31</v>
      </c>
      <c r="B10" t="s">
        <v>103</v>
      </c>
    </row>
    <row r="11" spans="1:22" x14ac:dyDescent="0.2">
      <c r="A11" t="s">
        <v>71</v>
      </c>
      <c r="B11" t="s">
        <v>103</v>
      </c>
    </row>
    <row r="12" spans="1:22" x14ac:dyDescent="0.2">
      <c r="A12" t="s">
        <v>36</v>
      </c>
      <c r="B12" t="s">
        <v>103</v>
      </c>
    </row>
    <row r="13" spans="1:22" x14ac:dyDescent="0.2">
      <c r="A13" t="s">
        <v>72</v>
      </c>
      <c r="B13" t="s">
        <v>103</v>
      </c>
    </row>
    <row r="14" spans="1:22" x14ac:dyDescent="0.2">
      <c r="A14" t="s">
        <v>32</v>
      </c>
      <c r="B14" t="s">
        <v>103</v>
      </c>
      <c r="C14">
        <v>2939</v>
      </c>
      <c r="D14">
        <v>3297.4</v>
      </c>
      <c r="E14">
        <v>4385.55</v>
      </c>
      <c r="F14">
        <v>5473.7</v>
      </c>
      <c r="G14">
        <v>6561.85</v>
      </c>
      <c r="H14">
        <v>7650</v>
      </c>
      <c r="I14">
        <v>7650</v>
      </c>
      <c r="J14">
        <v>7650</v>
      </c>
      <c r="K14">
        <v>7650</v>
      </c>
      <c r="L14">
        <v>7345.1500000000005</v>
      </c>
      <c r="M14">
        <v>7144</v>
      </c>
      <c r="N14">
        <v>7144</v>
      </c>
      <c r="O14">
        <v>7144</v>
      </c>
      <c r="P14">
        <v>7446</v>
      </c>
      <c r="Q14">
        <v>7483</v>
      </c>
      <c r="R14">
        <v>7422</v>
      </c>
      <c r="S14">
        <v>7422</v>
      </c>
      <c r="T14">
        <v>7422</v>
      </c>
      <c r="U14">
        <v>7422</v>
      </c>
      <c r="V14">
        <v>7422</v>
      </c>
    </row>
    <row r="15" spans="1:22" x14ac:dyDescent="0.2">
      <c r="A15" t="s">
        <v>39</v>
      </c>
      <c r="B15" t="s">
        <v>103</v>
      </c>
      <c r="C15">
        <v>4155</v>
      </c>
      <c r="D15">
        <v>4401.33</v>
      </c>
      <c r="E15">
        <v>5345.9980000000005</v>
      </c>
      <c r="F15">
        <v>6290.665</v>
      </c>
      <c r="G15">
        <v>7235.3330000000005</v>
      </c>
      <c r="H15">
        <v>8180</v>
      </c>
      <c r="I15">
        <v>10165</v>
      </c>
      <c r="J15">
        <v>12643</v>
      </c>
      <c r="K15">
        <v>14661</v>
      </c>
      <c r="L15">
        <v>15702.1</v>
      </c>
      <c r="M15">
        <v>15808</v>
      </c>
      <c r="N15">
        <v>17713</v>
      </c>
      <c r="O15">
        <v>18112</v>
      </c>
      <c r="P15">
        <v>20170</v>
      </c>
      <c r="Q15">
        <v>20250</v>
      </c>
      <c r="R15">
        <v>20859</v>
      </c>
      <c r="S15">
        <v>22111</v>
      </c>
      <c r="T15">
        <v>22999</v>
      </c>
      <c r="U15">
        <v>23511</v>
      </c>
      <c r="V15">
        <v>24190</v>
      </c>
    </row>
    <row r="16" spans="1:22" x14ac:dyDescent="0.2">
      <c r="A16" t="s">
        <v>41</v>
      </c>
      <c r="B16" t="s">
        <v>103</v>
      </c>
    </row>
    <row r="17" spans="1:22" x14ac:dyDescent="0.2">
      <c r="A17" t="s">
        <v>40</v>
      </c>
      <c r="B17" t="s">
        <v>103</v>
      </c>
    </row>
    <row r="18" spans="1:22" x14ac:dyDescent="0.2">
      <c r="A18" t="s">
        <v>73</v>
      </c>
      <c r="B18" t="s">
        <v>103</v>
      </c>
    </row>
    <row r="19" spans="1:22" x14ac:dyDescent="0.2">
      <c r="A19" t="s">
        <v>38</v>
      </c>
      <c r="B19" t="s">
        <v>103</v>
      </c>
    </row>
    <row r="20" spans="1:22" x14ac:dyDescent="0.2">
      <c r="A20" t="s">
        <v>42</v>
      </c>
      <c r="B20" t="s">
        <v>103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86</v>
      </c>
      <c r="Q20">
        <v>5781</v>
      </c>
      <c r="R20">
        <v>8852</v>
      </c>
      <c r="S20">
        <v>16564</v>
      </c>
      <c r="T20">
        <v>16568</v>
      </c>
      <c r="U20">
        <v>16672</v>
      </c>
      <c r="V20">
        <v>16823</v>
      </c>
    </row>
    <row r="21" spans="1:22" x14ac:dyDescent="0.2">
      <c r="A21" t="s">
        <v>74</v>
      </c>
      <c r="B21" t="s">
        <v>103</v>
      </c>
    </row>
    <row r="22" spans="1:22" x14ac:dyDescent="0.2">
      <c r="A22" t="s">
        <v>75</v>
      </c>
      <c r="B22" t="s">
        <v>103</v>
      </c>
    </row>
    <row r="23" spans="1:22" x14ac:dyDescent="0.2">
      <c r="A23" t="s">
        <v>44</v>
      </c>
      <c r="B23" t="s">
        <v>103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30</v>
      </c>
      <c r="J23">
        <v>30</v>
      </c>
      <c r="K23">
        <v>46</v>
      </c>
      <c r="L23">
        <v>46</v>
      </c>
      <c r="M23">
        <v>46</v>
      </c>
      <c r="N23">
        <v>153.20000000000002</v>
      </c>
      <c r="O23">
        <v>189.20000000000002</v>
      </c>
      <c r="P23">
        <v>243</v>
      </c>
      <c r="Q23">
        <v>521</v>
      </c>
      <c r="R23">
        <v>538</v>
      </c>
      <c r="S23">
        <v>4126</v>
      </c>
      <c r="T23">
        <v>5059</v>
      </c>
      <c r="U23">
        <v>5869</v>
      </c>
      <c r="V23">
        <v>5991</v>
      </c>
    </row>
    <row r="24" spans="1:22" x14ac:dyDescent="0.2">
      <c r="A24" t="s">
        <v>18</v>
      </c>
      <c r="B24" t="s">
        <v>103</v>
      </c>
      <c r="C24">
        <v>16.23</v>
      </c>
      <c r="D24">
        <v>10.51</v>
      </c>
      <c r="E24">
        <v>12.71</v>
      </c>
      <c r="F24">
        <v>10.57</v>
      </c>
      <c r="G24">
        <v>12.05</v>
      </c>
      <c r="H24">
        <v>12.05</v>
      </c>
      <c r="I24">
        <v>17.7</v>
      </c>
      <c r="J24">
        <v>18.690000000000001</v>
      </c>
      <c r="K24">
        <v>17.21</v>
      </c>
      <c r="L24">
        <v>18.93</v>
      </c>
      <c r="M24">
        <v>35.160000000000004</v>
      </c>
      <c r="N24">
        <v>30</v>
      </c>
      <c r="O24">
        <v>55</v>
      </c>
      <c r="P24">
        <v>325</v>
      </c>
      <c r="Q24">
        <v>380</v>
      </c>
      <c r="R24">
        <v>325</v>
      </c>
      <c r="S24">
        <v>325</v>
      </c>
      <c r="T24">
        <v>395</v>
      </c>
      <c r="U24">
        <v>410</v>
      </c>
      <c r="V24">
        <v>439</v>
      </c>
    </row>
    <row r="25" spans="1:22" x14ac:dyDescent="0.2">
      <c r="A25" t="s">
        <v>16</v>
      </c>
      <c r="B25" t="s">
        <v>103</v>
      </c>
    </row>
    <row r="26" spans="1:22" x14ac:dyDescent="0.2">
      <c r="A26" t="s">
        <v>76</v>
      </c>
      <c r="B26" t="s">
        <v>103</v>
      </c>
    </row>
    <row r="27" spans="1:22" x14ac:dyDescent="0.2">
      <c r="A27" t="s">
        <v>77</v>
      </c>
      <c r="B27" t="s">
        <v>103</v>
      </c>
    </row>
    <row r="28" spans="1:22" x14ac:dyDescent="0.2">
      <c r="A28" t="s">
        <v>78</v>
      </c>
      <c r="B28" t="s">
        <v>103</v>
      </c>
    </row>
    <row r="29" spans="1:22" x14ac:dyDescent="0.2">
      <c r="A29" t="s">
        <v>14</v>
      </c>
      <c r="B29" t="s">
        <v>103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22" x14ac:dyDescent="0.2">
      <c r="A30" t="s">
        <v>79</v>
      </c>
      <c r="B30" t="s">
        <v>103</v>
      </c>
    </row>
    <row r="31" spans="1:22" x14ac:dyDescent="0.2">
      <c r="A31" t="s">
        <v>80</v>
      </c>
      <c r="B31" t="s">
        <v>103</v>
      </c>
    </row>
    <row r="32" spans="1:22" x14ac:dyDescent="0.2">
      <c r="A32" t="s">
        <v>34</v>
      </c>
      <c r="B32" t="s">
        <v>103</v>
      </c>
    </row>
    <row r="33" spans="1:22" x14ac:dyDescent="0.2">
      <c r="A33" t="s">
        <v>43</v>
      </c>
      <c r="B33" t="s">
        <v>103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22" x14ac:dyDescent="0.2">
      <c r="A34" t="s">
        <v>81</v>
      </c>
      <c r="B34" t="s">
        <v>103</v>
      </c>
      <c r="C34">
        <v>8553.23</v>
      </c>
      <c r="D34">
        <v>11548.65</v>
      </c>
      <c r="E34">
        <v>14045.815999999999</v>
      </c>
      <c r="F34">
        <v>16538.64</v>
      </c>
      <c r="G34">
        <v>19035.085999999999</v>
      </c>
      <c r="H34">
        <v>21530.05</v>
      </c>
      <c r="I34">
        <v>23550.7</v>
      </c>
      <c r="J34">
        <v>26469.69</v>
      </c>
      <c r="K34">
        <v>30655.21</v>
      </c>
      <c r="L34">
        <v>34025.68</v>
      </c>
      <c r="M34">
        <v>36789.160000000003</v>
      </c>
      <c r="N34">
        <v>40046.199999999997</v>
      </c>
      <c r="O34">
        <v>42306.2</v>
      </c>
      <c r="S34">
        <v>77548</v>
      </c>
      <c r="T34">
        <v>80133</v>
      </c>
      <c r="U34">
        <v>83019</v>
      </c>
      <c r="V34">
        <v>84697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FB4B-FDAB-467F-9014-95A16566C99C}">
  <dimension ref="A1:F13"/>
  <sheetViews>
    <sheetView workbookViewId="0">
      <selection activeCell="F13" sqref="F13"/>
    </sheetView>
  </sheetViews>
  <sheetFormatPr defaultRowHeight="14.25" x14ac:dyDescent="0.2"/>
  <cols>
    <col min="1" max="1" width="43.25" bestFit="1" customWidth="1"/>
    <col min="2" max="2" width="11.75" bestFit="1" customWidth="1"/>
    <col min="3" max="3" width="16" bestFit="1" customWidth="1"/>
    <col min="4" max="4" width="15.25" bestFit="1" customWidth="1"/>
    <col min="5" max="5" width="15" bestFit="1" customWidth="1"/>
    <col min="6" max="6" width="81" bestFit="1" customWidth="1"/>
  </cols>
  <sheetData>
    <row r="1" spans="1:6" x14ac:dyDescent="0.2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</row>
    <row r="2" spans="1:6" x14ac:dyDescent="0.2">
      <c r="A2" t="s">
        <v>149</v>
      </c>
      <c r="B2" t="s">
        <v>150</v>
      </c>
      <c r="C2" s="1"/>
      <c r="D2" s="1">
        <v>46140.488391203704</v>
      </c>
      <c r="E2" s="1">
        <v>45926.450127314813</v>
      </c>
      <c r="F2" t="s">
        <v>151</v>
      </c>
    </row>
    <row r="3" spans="1:6" x14ac:dyDescent="0.2">
      <c r="A3" t="s">
        <v>152</v>
      </c>
      <c r="B3" t="s">
        <v>150</v>
      </c>
      <c r="C3" s="1"/>
      <c r="D3" s="1">
        <v>46140.490162037036</v>
      </c>
      <c r="E3" s="1">
        <v>45926.450127314813</v>
      </c>
      <c r="F3" t="s">
        <v>151</v>
      </c>
    </row>
    <row r="4" spans="1:6" x14ac:dyDescent="0.2">
      <c r="A4" t="s">
        <v>153</v>
      </c>
      <c r="B4" t="s">
        <v>150</v>
      </c>
      <c r="C4" s="1"/>
      <c r="D4" s="1">
        <v>46127.458287037036</v>
      </c>
      <c r="E4" s="1">
        <v>45926.450162037036</v>
      </c>
      <c r="F4" t="s">
        <v>151</v>
      </c>
    </row>
    <row r="5" spans="1:6" x14ac:dyDescent="0.2">
      <c r="A5" t="s">
        <v>154</v>
      </c>
      <c r="B5" t="s">
        <v>150</v>
      </c>
      <c r="C5" s="1"/>
      <c r="D5" s="1">
        <v>46126.69871527778</v>
      </c>
      <c r="E5" s="1">
        <v>45926.450162037036</v>
      </c>
      <c r="F5" t="s">
        <v>151</v>
      </c>
    </row>
    <row r="6" spans="1:6" x14ac:dyDescent="0.2">
      <c r="A6" t="s">
        <v>155</v>
      </c>
      <c r="B6" t="s">
        <v>150</v>
      </c>
      <c r="C6" s="1"/>
      <c r="D6" s="1">
        <v>46128.597824074073</v>
      </c>
      <c r="E6" s="1">
        <v>45926.450173611112</v>
      </c>
      <c r="F6" t="s">
        <v>151</v>
      </c>
    </row>
    <row r="7" spans="1:6" x14ac:dyDescent="0.2">
      <c r="A7" t="s">
        <v>156</v>
      </c>
      <c r="B7" t="s">
        <v>150</v>
      </c>
      <c r="C7" s="1"/>
      <c r="D7" s="1">
        <v>46135.675428240742</v>
      </c>
      <c r="E7" s="1">
        <v>45926.450196759259</v>
      </c>
      <c r="F7" t="s">
        <v>151</v>
      </c>
    </row>
    <row r="8" spans="1:6" x14ac:dyDescent="0.2">
      <c r="A8" t="s">
        <v>157</v>
      </c>
      <c r="B8" t="s">
        <v>150</v>
      </c>
      <c r="C8" s="1"/>
      <c r="D8" s="1">
        <v>46126.638854166667</v>
      </c>
      <c r="E8" s="1">
        <v>45926.450173611112</v>
      </c>
      <c r="F8" t="s">
        <v>151</v>
      </c>
    </row>
    <row r="9" spans="1:6" x14ac:dyDescent="0.2">
      <c r="A9" t="s">
        <v>158</v>
      </c>
      <c r="B9" t="s">
        <v>150</v>
      </c>
      <c r="C9" s="1"/>
      <c r="D9" s="1">
        <v>46141.465613425928</v>
      </c>
      <c r="E9" s="1">
        <v>45926.450196759259</v>
      </c>
      <c r="F9" t="s">
        <v>151</v>
      </c>
    </row>
    <row r="10" spans="1:6" x14ac:dyDescent="0.2">
      <c r="A10" t="s">
        <v>159</v>
      </c>
      <c r="B10" t="s">
        <v>150</v>
      </c>
      <c r="C10" s="1"/>
      <c r="D10" s="1">
        <v>46142.44390046296</v>
      </c>
      <c r="E10" s="1">
        <v>45926.450208333335</v>
      </c>
      <c r="F10" t="s">
        <v>151</v>
      </c>
    </row>
    <row r="11" spans="1:6" x14ac:dyDescent="0.2">
      <c r="A11" t="s">
        <v>160</v>
      </c>
      <c r="B11" t="s">
        <v>150</v>
      </c>
      <c r="C11" s="1"/>
      <c r="D11" s="1">
        <v>46142.454942129632</v>
      </c>
      <c r="E11" s="1">
        <v>46044.595879629633</v>
      </c>
      <c r="F11" t="s">
        <v>151</v>
      </c>
    </row>
    <row r="12" spans="1:6" x14ac:dyDescent="0.2">
      <c r="A12" t="s">
        <v>161</v>
      </c>
      <c r="B12" t="s">
        <v>162</v>
      </c>
      <c r="C12" s="1"/>
      <c r="D12" s="1">
        <v>46075.622754629629</v>
      </c>
      <c r="E12" s="1">
        <v>46047.705659722225</v>
      </c>
      <c r="F12" t="s">
        <v>151</v>
      </c>
    </row>
    <row r="13" spans="1:6" x14ac:dyDescent="0.2">
      <c r="A13" t="s">
        <v>163</v>
      </c>
      <c r="B13" t="s">
        <v>150</v>
      </c>
      <c r="C13" s="1"/>
      <c r="D13" s="1">
        <v>46141.438252314816</v>
      </c>
      <c r="E13" s="1">
        <v>46139.388090277775</v>
      </c>
      <c r="F13" t="s">
        <v>151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33BC3-B3AB-42EF-B071-683D79DE59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</vt:i4>
      </vt:variant>
    </vt:vector>
  </HeadingPairs>
  <TitlesOfParts>
    <vt:vector size="28" baseType="lpstr">
      <vt:lpstr>Comparison</vt:lpstr>
      <vt:lpstr>Mapping</vt:lpstr>
      <vt:lpstr>Vietnam_HP</vt:lpstr>
      <vt:lpstr>Thailand_HP</vt:lpstr>
      <vt:lpstr>Singapore_HP</vt:lpstr>
      <vt:lpstr>Philippines_HP</vt:lpstr>
      <vt:lpstr>Myanmar_HP</vt:lpstr>
      <vt:lpstr>Malaysia_HP</vt:lpstr>
      <vt:lpstr>Laos_HP</vt:lpstr>
      <vt:lpstr>Indonesia_HP</vt:lpstr>
      <vt:lpstr>Cambodia_HP</vt:lpstr>
      <vt:lpstr>Brunei_HP</vt:lpstr>
      <vt:lpstr>LEAP</vt:lpstr>
      <vt:lpstr>Input_to_LEAP</vt:lpstr>
      <vt:lpstr>Input_MYS_Adj</vt:lpstr>
      <vt:lpstr>Brunei</vt:lpstr>
      <vt:lpstr>Cambodia</vt:lpstr>
      <vt:lpstr>Indonesia</vt:lpstr>
      <vt:lpstr>Laos</vt:lpstr>
      <vt:lpstr>Malaysia</vt:lpstr>
      <vt:lpstr>Myanmar</vt:lpstr>
      <vt:lpstr>Philippines</vt:lpstr>
      <vt:lpstr>Singapore</vt:lpstr>
      <vt:lpstr>Thailand</vt:lpstr>
      <vt:lpstr>Vietnam</vt:lpstr>
      <vt:lpstr>Source</vt:lpstr>
      <vt:lpstr>AMS</vt:lpstr>
      <vt:lpstr>MYS_Fractioned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Flavia Domitilla Frederick</dc:creator>
  <cp:keywords/>
  <dc:description/>
  <cp:lastModifiedBy>Flavia Domitilla Frederick</cp:lastModifiedBy>
  <cp:revision/>
  <dcterms:created xsi:type="dcterms:W3CDTF">2026-04-22T02:13:17Z</dcterms:created>
  <dcterms:modified xsi:type="dcterms:W3CDTF">2026-05-05T09:29:17Z</dcterms:modified>
  <cp:category/>
  <cp:contentStatus/>
</cp:coreProperties>
</file>